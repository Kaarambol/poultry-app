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Weekly Return" state="visible" r:id="rId4"/>
    <sheet sheetId="7" name="35 day weights" state="visible" r:id="rId5"/>
    <sheet sheetId="3" name="Placement Information" state="visible" r:id="rId6"/>
    <sheet sheetId="2" name="Standards" state="hidden" r:id="rId7"/>
    <sheet sheetId="4" name="Instructions" state="visible" r:id="rId8"/>
    <sheet sheetId="6" name="Deadlines" state="visible" r:id="rId9"/>
  </sheets>
  <definedNames>
    <definedName name="_xlnm.Print_Area" localSheetId="0">'Weekly Return'!$A1:$R246</definedName>
  </definedNames>
  <calcPr calcId="171027"/>
</workbook>
</file>

<file path=xl/sharedStrings.xml><?xml version="1.0" encoding="utf-8"?>
<sst xmlns="http://schemas.openxmlformats.org/spreadsheetml/2006/main" count="600" uniqueCount="233">
  <si>
    <t>Bedstone Farm</t>
  </si>
  <si>
    <t>Bedstone Poultry Ltd</t>
  </si>
  <si>
    <t>Avara Foods - Broiler Weekly Return</t>
  </si>
  <si>
    <t>Table</t>
  </si>
  <si>
    <t>of</t>
  </si>
  <si>
    <t>BEDS</t>
  </si>
  <si>
    <t>3008</t>
  </si>
  <si>
    <t>24/02/2026</t>
  </si>
  <si>
    <t>Ross 308</t>
  </si>
  <si>
    <t>Birds placed</t>
  </si>
  <si>
    <t>Avara</t>
  </si>
  <si>
    <t>Breed</t>
  </si>
  <si>
    <t>DAY_3</t>
  </si>
  <si>
    <t>House</t>
  </si>
  <si>
    <t>Age (days)</t>
  </si>
  <si>
    <t>0 to 3 days</t>
  </si>
  <si>
    <t>Mortality (excluding culls)</t>
  </si>
  <si>
    <t>House 1</t>
  </si>
  <si>
    <t>House 2</t>
  </si>
  <si>
    <t>CDMR %</t>
  </si>
  <si>
    <t>General Comments</t>
  </si>
  <si>
    <t>The above information should be provided when youngest birds reach 3 days</t>
  </si>
  <si>
    <t>by e-mail to agriculture.planning@avarafoods.co.uk &amp; your area manager</t>
  </si>
  <si>
    <t>Site:</t>
  </si>
  <si>
    <t>Crop:</t>
  </si>
  <si>
    <t>Farm Code:</t>
  </si>
  <si>
    <t>4 to 7 days</t>
  </si>
  <si>
    <t xml:space="preserve"> Leg culls </t>
  </si>
  <si>
    <t xml:space="preserve">Other culls </t>
  </si>
  <si>
    <t>At 7 days</t>
  </si>
  <si>
    <t>Average weight (kg)</t>
  </si>
  <si>
    <t>% Growth vs. Avara Standard</t>
  </si>
  <si>
    <t>Birds need to be weighed at 7 days</t>
  </si>
  <si>
    <t>The above information should be provided when youngest birds reach 7 days</t>
  </si>
  <si>
    <t>8 to 14 days</t>
  </si>
  <si>
    <t>At 14 days</t>
  </si>
  <si>
    <t>Birds need to be weighed at 14 days</t>
  </si>
  <si>
    <t>The above information should be provided when youngest birds reach 14 days</t>
  </si>
  <si>
    <t>15 to 21 days</t>
  </si>
  <si>
    <t>At 21 days</t>
  </si>
  <si>
    <t>Predicted thin growth % into factory</t>
  </si>
  <si>
    <t>Birds need to be weighed at 21 days + predicted for factory</t>
  </si>
  <si>
    <t>The above information should be provided when youngest birds reach 21 days</t>
  </si>
  <si>
    <t>At 26 Days</t>
  </si>
  <si>
    <t>Birds need to be weighed at 26 days + predicted for factory</t>
  </si>
  <si>
    <t>The above information should be provided when each shed reaches 30 days</t>
  </si>
  <si>
    <t>22 to 28 days</t>
  </si>
  <si>
    <t>At 28 days</t>
  </si>
  <si>
    <t>Birds need to be weighed at 28 days + predicted for factory</t>
  </si>
  <si>
    <t>The above information should be provided when each shed reaches 28 days</t>
  </si>
  <si>
    <t>THIN</t>
  </si>
  <si>
    <t>29 days to thin</t>
  </si>
  <si>
    <t>The above information should be provided when all sheds have thinned</t>
  </si>
  <si>
    <t>CLEAR</t>
  </si>
  <si>
    <t>Thin to clear</t>
  </si>
  <si>
    <t>The above information should be provided on day farm clears</t>
  </si>
  <si>
    <t>TOTAL</t>
  </si>
  <si>
    <t>Total for crop</t>
  </si>
  <si>
    <t>END OF CROP TOTALS</t>
  </si>
  <si>
    <t>End of Crop Medication Usage (Do not include vaccines)</t>
  </si>
  <si>
    <t>FEED:</t>
  </si>
  <si>
    <t>Opening stock (feed used from store)</t>
  </si>
  <si>
    <t>Date started</t>
  </si>
  <si>
    <t>House Number</t>
  </si>
  <si>
    <t>Number of Birds</t>
  </si>
  <si>
    <t>Bird age on first day of medication</t>
  </si>
  <si>
    <t>Medication Name</t>
  </si>
  <si>
    <t>Medication Pack Size</t>
  </si>
  <si>
    <t>Total Number of Packs Administered</t>
  </si>
  <si>
    <t>Total number of days Medicated</t>
  </si>
  <si>
    <t>Feed Delivered</t>
  </si>
  <si>
    <t>Feed Transferred between sites</t>
  </si>
  <si>
    <t>If transferred, where?</t>
  </si>
  <si>
    <t>Feed to Store this crop (Closing Stock)</t>
  </si>
  <si>
    <t>Additional comments on feed</t>
  </si>
  <si>
    <t>Feed Used</t>
  </si>
  <si>
    <t>Own Wheat Used</t>
  </si>
  <si>
    <t>Total Feed + Wheat</t>
  </si>
  <si>
    <t>LITTER QUANTITY:</t>
  </si>
  <si>
    <r>
      <t xml:space="preserve">Quantity produced in </t>
    </r>
    <r>
      <rPr>
        <b/>
        <color rgb="FFFF0000"/>
        <family val="2"/>
        <scheme val="minor"/>
        <sz val="12"/>
        <rFont val="Calibri"/>
      </rPr>
      <t>previous</t>
    </r>
    <r>
      <rPr>
        <color indexed="10"/>
        <family val="2"/>
        <scheme val="minor"/>
        <sz val="12"/>
        <rFont val="Calibri"/>
      </rPr>
      <t xml:space="preserve"> crop (tonnes)</t>
    </r>
  </si>
  <si>
    <t>LITTER DESTINATION:</t>
  </si>
  <si>
    <t>Select option from dropdown list</t>
  </si>
  <si>
    <t>Please insert % to each destination</t>
  </si>
  <si>
    <t xml:space="preserve"> </t>
  </si>
  <si>
    <t>and broiler-accounts@avarafoods.co.uk</t>
  </si>
  <si>
    <t>Predicted growth % into factory</t>
  </si>
  <si>
    <t>Birds need to be weighed at 35 days + predicted for factory</t>
  </si>
  <si>
    <t>The above information should be provided when each shed reaches 35 days</t>
  </si>
  <si>
    <t>Farm Name:</t>
  </si>
  <si>
    <t>First Date Placed</t>
  </si>
  <si>
    <t>Shed 1</t>
  </si>
  <si>
    <t>Shed 2</t>
  </si>
  <si>
    <t>Shed 3</t>
  </si>
  <si>
    <t>Shed 4</t>
  </si>
  <si>
    <t>HATCHERIES</t>
  </si>
  <si>
    <t>PTC No.</t>
  </si>
  <si>
    <t>Chicks</t>
  </si>
  <si>
    <t>Parent Age</t>
  </si>
  <si>
    <t>Flock</t>
  </si>
  <si>
    <t>Hatchery</t>
  </si>
  <si>
    <t>Aviagen</t>
  </si>
  <si>
    <t>Annyalla</t>
  </si>
  <si>
    <t>Caynham</t>
  </si>
  <si>
    <t>Hooks</t>
  </si>
  <si>
    <t>OTH</t>
  </si>
  <si>
    <t>Ower</t>
  </si>
  <si>
    <t>Quainton</t>
  </si>
  <si>
    <t>Rayne</t>
  </si>
  <si>
    <t>Shobdon</t>
  </si>
  <si>
    <t>Usselby</t>
  </si>
  <si>
    <t>Shed 5</t>
  </si>
  <si>
    <t>Shed 6</t>
  </si>
  <si>
    <t>Shed 7</t>
  </si>
  <si>
    <t>Shed 8</t>
  </si>
  <si>
    <t>Shed 9</t>
  </si>
  <si>
    <t>Shed 10</t>
  </si>
  <si>
    <t>Shed 11</t>
  </si>
  <si>
    <t>Shed 12</t>
  </si>
  <si>
    <t>Shed 13</t>
  </si>
  <si>
    <t>Shed 14</t>
  </si>
  <si>
    <t>Shed 15</t>
  </si>
  <si>
    <t>Litter destination drop down</t>
  </si>
  <si>
    <t>% Litter retained on your farm and spread to land</t>
  </si>
  <si>
    <t>% Litter used in own AD plant</t>
  </si>
  <si>
    <t>% Litter sold to an external business e.g. Gamber</t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</si>
  <si>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within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</si>
  <si>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r>
      <t xml:space="preserve">% Litter sold to a local farm </t>
    </r>
    <r>
      <rPr>
        <b/>
        <color theme="1"/>
        <family val="2"/>
        <scheme val="minor"/>
        <sz val="11"/>
        <rFont val="Calibri"/>
      </rPr>
      <t>outside</t>
    </r>
    <r>
      <rPr>
        <color theme="1"/>
        <family val="2"/>
        <scheme val="minor"/>
        <sz val="11"/>
        <rFont val="Calibri"/>
      </rPr>
      <t xml:space="preserve"> the River Wye and Lugg catchment and spread to land</t>
    </r>
  </si>
  <si>
    <t>% Litter used in a litter burner</t>
  </si>
  <si>
    <t>Placement information</t>
  </si>
  <si>
    <t>Weekly Return</t>
  </si>
  <si>
    <t>Crop End Information</t>
  </si>
  <si>
    <t>This tab is to be filled in when chicks are first placed on farm</t>
  </si>
  <si>
    <t>General information</t>
  </si>
  <si>
    <t>Located at the bottom of the Weekly return</t>
  </si>
  <si>
    <t>Information required for each shed:</t>
  </si>
  <si>
    <t>Following information fields to be filled in:</t>
  </si>
  <si>
    <t>Crop End mortalities pull through automatically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</si>
  <si>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Date first placed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</si>
  <si>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Site (Farm name) Cell E5</t>
    </r>
  </si>
  <si>
    <t>If you think these are incorrect, please inform us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</si>
  <si>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Breed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</si>
  <si>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Crop (Number) Cell E6</t>
    </r>
  </si>
  <si>
    <r>
      <t xml:space="preserve">CDMR </t>
    </r>
    <r>
      <rPr>
        <b/>
        <color theme="1"/>
        <family val="2"/>
        <scheme val="minor"/>
        <sz val="16"/>
        <rFont val="Calibri"/>
      </rPr>
      <t xml:space="preserve">DOES </t>
    </r>
    <r>
      <rPr>
        <color theme="1"/>
        <family val="2"/>
        <scheme val="minor"/>
        <sz val="16"/>
        <rFont val="Calibri"/>
      </rPr>
      <t>need to be input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</si>
  <si>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PTC number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</si>
  <si>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Farm Code (As on MTech) Cell E7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</si>
  <si>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Number of Chicks</t>
    </r>
  </si>
  <si>
    <t>Once this information is entered, it will automatically populate in the below pages</t>
  </si>
  <si>
    <t>Information required for Feed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</si>
  <si>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Parent Age</t>
    </r>
  </si>
  <si>
    <t>Please get in touch if you are unsure of your farm code – it is a 4 letter code.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</si>
  <si>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Opening Stock (Feed used from Store)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</si>
  <si>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Flock Code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</si>
  <si>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Delivered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</si>
  <si>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Hatchery (drop down list)</t>
    </r>
  </si>
  <si>
    <t>3 day information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</si>
  <si>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Transferred between sites</t>
    </r>
  </si>
  <si>
    <t>For example:</t>
  </si>
  <si>
    <t>Information to be filled in for each shed</t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</si>
  <si>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If feed has been transferred, you must specify where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</si>
  <si>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</si>
  <si>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Feed to store for this crop (Closing Stock)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</si>
  <si>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0-3 days</t>
    </r>
  </si>
  <si>
    <r>
      <t xml:space="preserve">- </t>
    </r>
    <r>
      <rPr>
        <color theme="1"/>
        <family val="1"/>
        <sz val="16"/>
        <rFont val="Times New Roman"/>
      </rPr>
      <t xml:space="preserve">         </t>
    </r>
    <r>
      <rPr>
        <color theme="1"/>
        <family val="2"/>
        <scheme val="minor"/>
        <sz val="16"/>
        <rFont val="Calibri"/>
      </rPr>
      <t>Own Wheat Used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</si>
  <si>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0-3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</si>
  <si>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CDMR %</t>
    </r>
  </si>
  <si>
    <t>Feed used and Total feed + wheat will calculate automatcially</t>
  </si>
  <si>
    <t>7 day information</t>
  </si>
  <si>
    <t>Information required for Litter</t>
  </si>
  <si>
    <r>
      <t xml:space="preserve">-         Total litter quantity produced from the </t>
    </r>
    <r>
      <rPr>
        <b/>
        <color theme="1"/>
        <family val="2"/>
        <scheme val="minor"/>
        <sz val="16"/>
        <rFont val="Calibri"/>
      </rPr>
      <t>PREVIOUS</t>
    </r>
    <r>
      <rPr>
        <color theme="1"/>
        <family val="2"/>
        <scheme val="minor"/>
        <sz val="16"/>
        <rFont val="Calibri"/>
      </rPr>
      <t xml:space="preserve"> crop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</si>
  <si>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4-7 days</t>
    </r>
  </si>
  <si>
    <t>-         Select from the dropdown list the litter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</si>
  <si>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4-7 days</t>
    </r>
  </si>
  <si>
    <t>-         If necessary, select a second destination for the litter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</si>
  <si>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4-7 days</t>
    </r>
  </si>
  <si>
    <t>-         Enter the % of litter from the total produced to the destination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</si>
  <si>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Average weight (in KG)</t>
    </r>
  </si>
  <si>
    <t>% growth index will be calculated automatically</t>
  </si>
  <si>
    <t>Information required for Medication usage</t>
  </si>
  <si>
    <t>Headings in the table to be filled out as per the example below:</t>
  </si>
  <si>
    <t>14 day information</t>
  </si>
  <si>
    <t>Amoxinsol</t>
  </si>
  <si>
    <t>200g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</si>
  <si>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7-14 days</t>
    </r>
  </si>
  <si>
    <t>EXAMPLE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</si>
  <si>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7-14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</si>
  <si>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7-14 days</t>
    </r>
  </si>
  <si>
    <t>Information to be sent to</t>
  </si>
  <si>
    <t>Agriculture.planning@avarafoods.co.uk</t>
  </si>
  <si>
    <t>Broiler-accounts@avarafoods.co.uk</t>
  </si>
  <si>
    <t>Once the whole farm has been depopulated</t>
  </si>
  <si>
    <t>21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</si>
  <si>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</si>
  <si>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15-21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</si>
  <si>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15-21 days</t>
    </r>
  </si>
  <si>
    <r>
      <t>-</t>
    </r>
    <r>
      <rPr>
        <color rgb="FF0070C0"/>
        <family val="1"/>
        <sz val="16"/>
        <rFont val="Times New Roman"/>
      </rPr>
      <t xml:space="preserve">          </t>
    </r>
    <r>
      <rPr>
        <color rgb="FF0070C0"/>
        <family val="2"/>
        <scheme val="minor"/>
        <sz val="16"/>
        <rFont val="Calibri"/>
      </rPr>
      <t>Predicted Growth into the factory</t>
    </r>
  </si>
  <si>
    <t>How do you think your birds will come into the factory against standard.</t>
  </si>
  <si>
    <t>This will replace our current system on the East of Daily weights so please be as accurate as possible</t>
  </si>
  <si>
    <t>26 day information</t>
  </si>
  <si>
    <t>28 day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</si>
  <si>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</si>
  <si>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22-28 days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</si>
  <si>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22-28 days</t>
    </r>
  </si>
  <si>
    <t>35 day information</t>
  </si>
  <si>
    <t>To be filled in on '35 day weight tab'</t>
  </si>
  <si>
    <t>29 day to Thin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</si>
  <si>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</si>
  <si>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29-Thin day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</si>
  <si>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29-Thin day</t>
    </r>
  </si>
  <si>
    <t>Thin to Clear information</t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</si>
  <si>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Total mortality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</si>
  <si>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Leg culls between Thin and Clear</t>
    </r>
  </si>
  <si>
    <r>
      <t>-</t>
    </r>
    <r>
      <rPr>
        <color theme="1"/>
        <family val="1"/>
        <sz val="16"/>
        <rFont val="Times New Roman"/>
      </rPr>
      <t xml:space="preserve">          </t>
    </r>
    <r>
      <rPr>
        <color theme="1"/>
        <family val="2"/>
        <scheme val="minor"/>
        <sz val="16"/>
        <rFont val="Calibri"/>
      </rPr>
      <t>Other culls between Thin and Clear</t>
    </r>
  </si>
  <si>
    <t>Placing All Sheds on The Same Day</t>
  </si>
  <si>
    <t>Placing Sheds over Multiple Days</t>
  </si>
  <si>
    <t>Information to be sent in on the day that birds turn the required age</t>
  </si>
  <si>
    <t>Up to 21 days:</t>
  </si>
  <si>
    <t>BY 2PM</t>
  </si>
  <si>
    <t>Information to be sent in for all sheds when the YOUNGEST birds reach the required age</t>
  </si>
  <si>
    <t>For Example:</t>
  </si>
  <si>
    <t>The day your birds turn 7, please send in the 7 day information</t>
  </si>
  <si>
    <t>If shed 1 turns 7 days on Monday and shed 2 turns 7 days on Tuesday, Send the weekly return in on the Tuesday</t>
  </si>
  <si>
    <t>IF INFORMATION IS DUE IN ON A FRIDAY PLEASE SEND NO LATER THAN</t>
  </si>
  <si>
    <t>11AM</t>
  </si>
  <si>
    <t>26,28 and 35 day returns:</t>
  </si>
  <si>
    <t>Weekly return to be sent to:</t>
  </si>
  <si>
    <t>Information to be sent in when each shed reaches the required age</t>
  </si>
  <si>
    <t>Agriculture.planning@avarafoods.co.uk and your Area Manager</t>
  </si>
  <si>
    <t>UNLESS WEIGHTS FALL ON A FRIDAY IN WHICH CASE</t>
  </si>
  <si>
    <t>26 days on</t>
  </si>
  <si>
    <t>Weekly return due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</si>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</sst>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"/>
    <numFmt numFmtId="165" formatCode="0.0%"/>
    <numFmt numFmtId="166" formatCode="dd/mm/yy"/>
    <numFmt numFmtId="167" formatCode="_-* #,##0_-;-* #,##0_-;_-* &quot;-&quot;??_-;_-@_-"/>
  </numFmts>
  <fonts count="2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family val="2"/>
      <scheme val="minor"/>
      <sz val="12"/>
      <name val="Calibri"/>
    </font>
    <font>
      <family val="2"/>
      <scheme val="minor"/>
      <sz val="16"/>
      <name val="Calibri"/>
    </font>
    <font>
      <u/>
      <family val="2"/>
      <scheme val="minor"/>
      <sz val="12"/>
      <name val="Calibri"/>
    </font>
    <font>
      <color indexed="10"/>
      <family val="2"/>
      <scheme val="minor"/>
      <sz val="12"/>
      <name val="Calibri"/>
    </font>
    <font>
      <color theme="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family val="2"/>
      <scheme val="minor"/>
      <sz val="11"/>
      <name val="Calibri"/>
    </font>
    <font>
      <color rgb="FFFF0000"/>
      <family val="2"/>
      <scheme val="minor"/>
      <sz val="12"/>
      <name val="Calibri"/>
    </font>
    <font>
      <b/>
      <color rgb="FFFF0000"/>
      <family val="2"/>
      <scheme val="minor"/>
      <sz val="12"/>
      <name val="Calibri"/>
    </font>
    <font>
      <color indexed="1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4"/>
      <name val="Calibri"/>
    </font>
    <font>
      <u/>
      <color theme="10"/>
      <family val="2"/>
      <scheme val="minor"/>
      <sz val="18"/>
      <name val="Calibri"/>
    </font>
    <font>
      <color rgb="FF0070C0"/>
      <family val="2"/>
      <scheme val="minor"/>
      <sz val="16"/>
      <name val="Calibri"/>
    </font>
    <font>
      <b/>
      <color theme="1"/>
      <family val="2"/>
      <scheme val="minor"/>
      <sz val="22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5" fontId="3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3" fontId="2" fillId="5" borderId="14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49" fontId="2" fillId="5" borderId="15" xfId="0" applyNumberFormat="1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 applyProtection="1">
      <alignment horizontal="center"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165" fontId="2" fillId="2" borderId="15" xfId="0" applyNumberFormat="1" applyFont="1" applyFill="1" applyBorder="1" applyAlignment="1" applyProtection="1">
      <alignment horizontal="center" vertical="center"/>
      <protection locked="0"/>
    </xf>
    <xf numFmtId="165" fontId="2" fillId="2" borderId="19" xfId="0" applyNumberFormat="1" applyFont="1" applyFill="1" applyBorder="1" applyAlignment="1" applyProtection="1">
      <alignment horizontal="center" vertical="center"/>
      <protection locked="0"/>
    </xf>
    <xf numFmtId="165" fontId="2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9" fontId="2" fillId="5" borderId="14" xfId="0" applyNumberFormat="1" applyFont="1" applyFill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fill" vertical="center"/>
    </xf>
    <xf numFmtId="0" fontId="2" fillId="3" borderId="22" xfId="0" applyFont="1" applyFill="1" applyBorder="1" applyAlignment="1">
      <alignment horizontal="center" vertical="center"/>
    </xf>
    <xf numFmtId="9" fontId="6" fillId="7" borderId="23" xfId="0" applyNumberFormat="1" applyFont="1" applyFill="1" applyBorder="1" applyAlignment="1" applyProtection="1">
      <alignment horizontal="center" vertical="center"/>
      <protection locked="0"/>
    </xf>
    <xf numFmtId="9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2" fillId="2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9" fontId="6" fillId="7" borderId="27" xfId="0" applyNumberFormat="1" applyFont="1" applyFill="1" applyBorder="1" applyAlignment="1" applyProtection="1">
      <alignment horizontal="center" vertical="center"/>
      <protection locked="0"/>
    </xf>
    <xf numFmtId="9" fontId="6" fillId="7" borderId="28" xfId="0" applyNumberFormat="1" applyFont="1" applyFill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>
      <alignment horizontal="center" vertical="center"/>
    </xf>
    <xf numFmtId="165" fontId="2" fillId="2" borderId="30" xfId="0" applyNumberFormat="1" applyFont="1" applyFill="1" applyBorder="1" applyAlignment="1" applyProtection="1">
      <alignment horizontal="center" vertical="center"/>
      <protection locked="0"/>
    </xf>
    <xf numFmtId="165" fontId="2" fillId="2" borderId="31" xfId="0" applyNumberFormat="1" applyFont="1" applyFill="1" applyBorder="1" applyAlignment="1" applyProtection="1">
      <alignment horizontal="center" vertical="center"/>
      <protection locked="0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vertical="center"/>
    </xf>
    <xf numFmtId="166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167" fontId="1" fillId="2" borderId="6" xfId="0" applyNumberFormat="1" applyFont="1" applyFill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9" fontId="11" fillId="2" borderId="2" xfId="0" applyNumberFormat="1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/>
    </xf>
    <xf numFmtId="9" fontId="11" fillId="2" borderId="13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3" borderId="34" xfId="0" applyFill="1" applyBorder="1" applyAlignment="1" applyProtection="1">
      <alignment horizontal="center"/>
      <protection locked="0"/>
    </xf>
    <xf numFmtId="0" fontId="0" fillId="3" borderId="35" xfId="0" applyFill="1" applyBorder="1" applyAlignment="1" applyProtection="1">
      <alignment horizontal="center"/>
      <protection locked="0"/>
    </xf>
    <xf numFmtId="0" fontId="0" fillId="6" borderId="29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16" fontId="0" fillId="0" borderId="25" xfId="0" applyNumberFormat="1" applyBorder="1" applyAlignment="1" applyProtection="1">
      <alignment horizontal="center"/>
      <protection locked="0"/>
    </xf>
    <xf numFmtId="0" fontId="14" fillId="6" borderId="25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49" fontId="0" fillId="0" borderId="37" xfId="0" applyNumberFormat="1" applyBorder="1" applyAlignment="1" applyProtection="1">
      <alignment horizontal="center"/>
      <protection locked="0"/>
    </xf>
    <xf numFmtId="0" fontId="14" fillId="0" borderId="38" xfId="0" applyFont="1" applyBorder="1"/>
    <xf numFmtId="0" fontId="0" fillId="6" borderId="3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0" borderId="40" xfId="0" applyBorder="1"/>
    <xf numFmtId="0" fontId="0" fillId="0" borderId="41" xfId="0" applyBorder="1" applyAlignment="1" applyProtection="1">
      <alignment horizontal="center"/>
      <protection locked="0"/>
    </xf>
    <xf numFmtId="3" fontId="0" fillId="0" borderId="42" xfId="0" applyNumberFormat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3" fontId="0" fillId="0" borderId="17" xfId="0" applyNumberFormat="1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14" fillId="4" borderId="25" xfId="0" applyFont="1" applyFill="1" applyBorder="1" applyAlignment="1">
      <alignment horizontal="center"/>
    </xf>
    <xf numFmtId="3" fontId="14" fillId="4" borderId="37" xfId="0" applyNumberFormat="1" applyFont="1" applyFill="1" applyBorder="1" applyAlignment="1">
      <alignment horizontal="center"/>
    </xf>
    <xf numFmtId="0" fontId="0" fillId="0" borderId="37" xfId="0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33" xfId="0" applyFill="1" applyBorder="1"/>
    <xf numFmtId="0" fontId="15" fillId="2" borderId="0" xfId="0" applyFont="1" applyFill="1" applyAlignment="1">
      <alignment vertical="center"/>
    </xf>
    <xf numFmtId="0" fontId="0" fillId="2" borderId="51" xfId="0" applyFill="1" applyBorder="1"/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 indent="5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0" fillId="2" borderId="9" xfId="0" applyFill="1" applyBorder="1"/>
    <xf numFmtId="0" fontId="19" fillId="2" borderId="10" xfId="0" applyFont="1" applyFill="1" applyBorder="1"/>
    <xf numFmtId="0" fontId="0" fillId="2" borderId="10" xfId="0" applyFill="1" applyBorder="1"/>
    <xf numFmtId="0" fontId="0" fillId="2" borderId="0" xfId="0" applyFill="1" applyAlignment="1">
      <alignment vertical="center"/>
    </xf>
    <xf numFmtId="166" fontId="12" fillId="8" borderId="52" xfId="0" applyNumberFormat="1" applyFont="1" applyFill="1" applyBorder="1" applyAlignment="1" applyProtection="1">
      <alignment horizontal="center" vertical="center"/>
      <protection locked="0"/>
    </xf>
    <xf numFmtId="166" fontId="12" fillId="8" borderId="46" xfId="0" applyNumberFormat="1" applyFont="1" applyFill="1" applyBorder="1" applyAlignment="1" applyProtection="1">
      <alignment horizontal="center" vertical="center"/>
      <protection locked="0"/>
    </xf>
    <xf numFmtId="166" fontId="12" fillId="8" borderId="53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0" fontId="0" fillId="2" borderId="11" xfId="0" applyFill="1" applyBorder="1"/>
    <xf numFmtId="0" fontId="21" fillId="2" borderId="0" xfId="0" applyFont="1" applyFill="1" applyAlignment="1">
      <alignment horizontal="left" vertical="center" indent="5"/>
    </xf>
    <xf numFmtId="0" fontId="21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5" fillId="0" borderId="34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" xfId="0" applyBorder="1"/>
    <xf numFmtId="0" fontId="14" fillId="0" borderId="6" xfId="0" applyFont="1" applyBorder="1"/>
    <xf numFmtId="0" fontId="0" fillId="0" borderId="51" xfId="0" applyBorder="1"/>
    <xf numFmtId="0" fontId="24" fillId="0" borderId="33" xfId="0" applyFont="1" applyBorder="1"/>
    <xf numFmtId="0" fontId="24" fillId="0" borderId="9" xfId="0" applyFont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</xdr:colOff>
      <xdr:row>0</xdr:row>
      <xdr:rowOff>169316</xdr:rowOff>
    </xdr:from>
    <xdr:to>
      <xdr:col>18</xdr:col>
      <xdr:colOff>17143</xdr:colOff>
      <xdr:row>3</xdr:row>
      <xdr:rowOff>94825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17</xdr:col>
      <xdr:colOff>7620</xdr:colOff>
      <xdr:row>54</xdr:row>
      <xdr:rowOff>169316</xdr:rowOff>
    </xdr:from>
    <xdr:ext cx="728132" cy="670576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82</xdr:row>
      <xdr:rowOff>169316</xdr:rowOff>
    </xdr:from>
    <xdr:ext cx="728132" cy="670576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133</xdr:row>
      <xdr:rowOff>169316</xdr:rowOff>
    </xdr:from>
    <xdr:ext cx="728132" cy="670576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163</xdr:row>
      <xdr:rowOff>0</xdr:rowOff>
    </xdr:from>
    <xdr:ext cx="728132" cy="670576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188</xdr:row>
      <xdr:rowOff>169316</xdr:rowOff>
    </xdr:from>
    <xdr:ext cx="728132" cy="670576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214</xdr:row>
      <xdr:rowOff>169316</xdr:rowOff>
    </xdr:from>
    <xdr:ext cx="728132" cy="670576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17</xdr:col>
      <xdr:colOff>7620</xdr:colOff>
      <xdr:row>111</xdr:row>
      <xdr:rowOff>169316</xdr:rowOff>
    </xdr:from>
    <xdr:ext cx="728132" cy="670576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693420</xdr:colOff>
      <xdr:row>26</xdr:row>
      <xdr:rowOff>245516</xdr:rowOff>
    </xdr:from>
    <xdr:ext cx="737656" cy="670576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16</xdr:col>
      <xdr:colOff>7620</xdr:colOff>
      <xdr:row>2</xdr:row>
      <xdr:rowOff>169316</xdr:rowOff>
    </xdr:from>
    <xdr:ext cx="728132" cy="67057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104774</xdr:rowOff>
    </xdr:from>
    <xdr:to>
      <xdr:col>8</xdr:col>
      <xdr:colOff>516254</xdr:colOff>
      <xdr:row>20</xdr:row>
      <xdr:rowOff>219074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Broiler-accounts@avarafoods.co.uk" TargetMode="External"/><Relationship Id="rId2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Agriculture.planning@avarafoods.co.uk%20and%20your%20Area%20Manager" TargetMode="External"/><Relationship Id="rId2" Type="http://schemas.openxmlformats.org/officeDocument/2006/relationships/hyperlink" Target="mailto:Agriculture.planning@avarafoods.co.uk%20and%20your%20Area%20Manager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8"/>
  <sheetViews>
    <sheetView workbookViewId="0" zoomScale="90" zoomScaleNormal="90">
      <selection activeCell="K230" sqref="K230"/>
    </sheetView>
  </sheetViews>
  <sheetFormatPr defaultRowHeight="15.75" outlineLevelRow="0" outlineLevelCol="0" x14ac:dyDescent="0.25" defaultColWidth="9.140625" customHeight="1"/>
  <cols>
    <col min="1" max="1" width="3.140625" style="1" customWidth="1"/>
    <col min="2" max="2" width="21" style="2" customWidth="1"/>
    <col min="3" max="3" width="47.28515625" style="1" customWidth="1"/>
    <col min="4" max="16" width="10.5703125" style="2" customWidth="1"/>
    <col min="17" max="18" width="10.5703125" style="1" customWidth="1"/>
    <col min="19" max="16384" width="9.140625" style="1" customWidth="1"/>
  </cols>
  <sheetData>
    <row r="1" ht="16.5" customHeight="1" x14ac:dyDescent="0.25"/>
    <row r="2" ht="21.6" customHeight="1" spans="1:16" x14ac:dyDescent="0.25">
      <c r="A2" s="3"/>
      <c r="B2" s="4" t="s">
        <v>0</v>
      </c>
      <c r="C2" s="5" t="s">
        <v>1</v>
      </c>
      <c r="D2" s="2">
        <v>0</v>
      </c>
      <c r="E2" s="6" t="s">
        <v>2</v>
      </c>
      <c r="F2" s="7"/>
      <c r="G2" s="7"/>
      <c r="H2" s="7"/>
      <c r="I2" s="7"/>
      <c r="J2" s="8"/>
      <c r="L2" s="3" t="s">
        <v>3</v>
      </c>
      <c r="M2" s="9">
        <v>1</v>
      </c>
      <c r="N2" s="9" t="s">
        <v>4</v>
      </c>
      <c r="O2" s="9">
        <v>9</v>
      </c>
      <c r="P2" s="3"/>
    </row>
    <row r="3" ht="21.6" customHeight="1" spans="1:16" x14ac:dyDescent="0.25">
      <c r="A3" s="3"/>
      <c r="B3" s="10" t="s">
        <v>5</v>
      </c>
      <c r="C3" s="11">
        <v>3009</v>
      </c>
      <c r="D3" s="3">
        <v>0</v>
      </c>
      <c r="E3" s="12"/>
      <c r="F3" s="13"/>
      <c r="G3" s="13"/>
      <c r="H3" s="13"/>
      <c r="I3" s="13"/>
      <c r="J3" s="14"/>
      <c r="K3" s="15"/>
      <c r="L3" s="3"/>
      <c r="M3" s="3"/>
      <c r="N3" s="3"/>
      <c r="O3" s="3"/>
      <c r="P3" s="1"/>
    </row>
    <row r="4" ht="21.6" customHeight="1" spans="1:16" x14ac:dyDescent="0.25">
      <c r="A4" s="3"/>
      <c r="B4" s="16" t="s">
        <v>6</v>
      </c>
      <c r="C4" s="17" t="s">
        <v>5</v>
      </c>
      <c r="D4" s="3">
        <v>0</v>
      </c>
      <c r="E4" s="18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9" customHeight="1" spans="2:4" x14ac:dyDescent="0.25">
      <c r="B5" s="2" t="s">
        <v>7</v>
      </c>
      <c r="D5" s="2">
        <v>0</v>
      </c>
    </row>
    <row r="6" ht="21.6" customHeight="1" spans="1:18" x14ac:dyDescent="0.25">
      <c r="A6" s="3"/>
      <c r="B6" s="3" t="s">
        <v>8</v>
      </c>
      <c r="C6" s="19" t="s">
        <v>9</v>
      </c>
      <c r="D6" s="20">
        <v>0</v>
      </c>
      <c r="E6" s="20">
        <f>'Placement Information'!$I$15</f>
        <v>0</v>
      </c>
      <c r="F6" s="20">
        <f>'Placement Information'!$O$15</f>
        <v>0</v>
      </c>
      <c r="G6" s="20">
        <f>'Placement Information'!$U$15</f>
        <v>0</v>
      </c>
      <c r="H6" s="20">
        <f>'Placement Information'!$C$28</f>
        <v>0</v>
      </c>
      <c r="I6" s="20">
        <f>'Placement Information'!$I$28</f>
        <v>0</v>
      </c>
      <c r="J6" s="20">
        <f>'Placement Information'!$O$28</f>
        <v>0</v>
      </c>
      <c r="K6" s="20">
        <f>'Placement Information'!$U$28</f>
        <v>0</v>
      </c>
      <c r="L6" s="20">
        <f>'Placement Information'!$C$41</f>
        <v>0</v>
      </c>
      <c r="M6" s="20">
        <f>'Placement Information'!$I$41</f>
        <v>0</v>
      </c>
      <c r="N6" s="20">
        <f>'Placement Information'!$O$41</f>
        <v>0</v>
      </c>
      <c r="O6" s="20">
        <f>'Placement Information'!$U$41</f>
        <v>0</v>
      </c>
      <c r="P6" s="20">
        <f>'Placement Information'!$C$54</f>
        <v>0</v>
      </c>
      <c r="Q6" s="20">
        <f>'Placement Information'!$I$54</f>
        <v>0</v>
      </c>
      <c r="R6" s="21">
        <f>'Placement Information'!$O$54</f>
        <v>0</v>
      </c>
    </row>
    <row r="7" ht="21.6" customHeight="1" spans="1:18" x14ac:dyDescent="0.25">
      <c r="A7" s="3"/>
      <c r="B7" s="3" t="s">
        <v>10</v>
      </c>
      <c r="C7" s="22" t="s">
        <v>11</v>
      </c>
      <c r="D7" s="23">
        <v>0</v>
      </c>
      <c r="E7" s="23" t="str">
        <f>'Placement Information'!$J$6</f>
        <v>Ross 308</v>
      </c>
      <c r="F7" s="23" t="str">
        <f>'Placement Information'!$P$6</f>
        <v>Ross 308</v>
      </c>
      <c r="G7" s="23" t="str">
        <f>'Placement Information'!$V$6</f>
        <v>Ross 308</v>
      </c>
      <c r="H7" s="23" t="str">
        <f>'Placement Information'!$D$19</f>
        <v>Ross 308</v>
      </c>
      <c r="I7" s="23" t="str">
        <f>'Placement Information'!$J$19</f>
        <v>Ross 308</v>
      </c>
      <c r="J7" s="23" t="str">
        <f>'Placement Information'!$P$19</f>
        <v>Ross 308</v>
      </c>
      <c r="K7" s="23" t="str">
        <f>'Placement Information'!$V$19</f>
        <v>Ross 308</v>
      </c>
      <c r="L7" s="23">
        <f>'Placement Information'!$D$32</f>
        <v>0</v>
      </c>
      <c r="M7" s="23">
        <f>'Placement Information'!$J$32</f>
        <v>0</v>
      </c>
      <c r="N7" s="23">
        <f>'Placement Information'!$P$32</f>
        <v>0</v>
      </c>
      <c r="O7" s="23">
        <f>'Placement Information'!$V$32</f>
        <v>0</v>
      </c>
      <c r="P7" s="23">
        <f>'Placement Information'!$D$45</f>
        <v>0</v>
      </c>
      <c r="Q7" s="23">
        <f>'Placement Information'!$J$45</f>
        <v>0</v>
      </c>
      <c r="R7" s="24">
        <f>'Placement Information'!$P$45</f>
        <v>0</v>
      </c>
    </row>
    <row r="8" ht="9" customHeight="1" spans="1:18" x14ac:dyDescent="0.25">
      <c r="A8" s="25"/>
      <c r="B8" s="3" t="s">
        <v>12</v>
      </c>
      <c r="C8" s="25"/>
      <c r="D8" s="3"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21.6" customHeight="1" spans="1:18" x14ac:dyDescent="0.25">
      <c r="A9" s="25"/>
      <c r="B9" s="3"/>
      <c r="C9" s="26" t="s">
        <v>13</v>
      </c>
      <c r="D9" s="27">
        <v>0</v>
      </c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>
        <v>8</v>
      </c>
      <c r="L9" s="27">
        <v>9</v>
      </c>
      <c r="M9" s="27">
        <v>10</v>
      </c>
      <c r="N9" s="27">
        <v>11</v>
      </c>
      <c r="O9" s="27">
        <v>12</v>
      </c>
      <c r="P9" s="27">
        <v>13</v>
      </c>
      <c r="Q9" s="27">
        <v>14</v>
      </c>
      <c r="R9" s="28">
        <v>15</v>
      </c>
    </row>
    <row r="10" ht="21.6" customHeight="1" spans="1:18" x14ac:dyDescent="0.25">
      <c r="A10" s="25"/>
      <c r="B10" s="3"/>
      <c r="C10" s="29" t="s">
        <v>14</v>
      </c>
      <c r="D10" s="9">
        <v>3</v>
      </c>
      <c r="E10" s="9">
        <v>3</v>
      </c>
      <c r="F10" s="9">
        <v>3</v>
      </c>
      <c r="G10" s="9">
        <v>3</v>
      </c>
      <c r="H10" s="9">
        <v>3</v>
      </c>
      <c r="I10" s="9">
        <v>3</v>
      </c>
      <c r="J10" s="9">
        <v>3</v>
      </c>
      <c r="K10" s="9">
        <v>3</v>
      </c>
      <c r="L10" s="9">
        <v>3</v>
      </c>
      <c r="M10" s="9">
        <v>3</v>
      </c>
      <c r="N10" s="9">
        <v>3</v>
      </c>
      <c r="O10" s="9">
        <v>3</v>
      </c>
      <c r="P10" s="9">
        <v>3</v>
      </c>
      <c r="Q10" s="9">
        <v>3</v>
      </c>
      <c r="R10" s="30">
        <v>3</v>
      </c>
    </row>
    <row r="11" ht="21.6" customHeight="1" spans="1:18" x14ac:dyDescent="0.25">
      <c r="A11" s="25"/>
      <c r="B11" s="31" t="s">
        <v>15</v>
      </c>
      <c r="C11" s="29" t="s">
        <v>16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</row>
    <row r="12" ht="21.6" customHeight="1" spans="1:18" x14ac:dyDescent="0.25">
      <c r="A12" s="25" t="s">
        <v>17</v>
      </c>
      <c r="B12" s="34">
        <v>0</v>
      </c>
      <c r="C12" s="29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/>
      <c r="K12" s="35"/>
      <c r="L12" s="35"/>
      <c r="M12" s="35"/>
      <c r="N12" s="35"/>
      <c r="O12" s="35"/>
      <c r="P12" s="35"/>
      <c r="Q12" s="35"/>
      <c r="R12" s="36"/>
    </row>
    <row r="13" ht="21.6" customHeight="1" spans="1:18" x14ac:dyDescent="0.25">
      <c r="A13" s="25" t="s">
        <v>18</v>
      </c>
      <c r="B13" s="37">
        <v>0</v>
      </c>
      <c r="C13" s="38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/>
      <c r="K13" s="39"/>
      <c r="L13" s="39"/>
      <c r="M13" s="39"/>
      <c r="N13" s="39"/>
      <c r="O13" s="39"/>
      <c r="P13" s="39"/>
      <c r="Q13" s="39"/>
      <c r="R13" s="40"/>
    </row>
    <row r="14" ht="9" customHeight="1" spans="1:18" x14ac:dyDescent="0.25">
      <c r="A14" s="25"/>
      <c r="B14" s="3"/>
      <c r="C14" s="2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21.6" customHeight="1" spans="1:18" x14ac:dyDescent="0.25">
      <c r="A15" s="25"/>
      <c r="B15" s="3"/>
      <c r="C15" s="16" t="s">
        <v>19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43">
        <f>SUM(D15:K15)/8</f>
        <v>0</v>
      </c>
    </row>
    <row r="16" ht="9" customHeight="1" spans="1:16" x14ac:dyDescent="0.25">
      <c r="A16" s="18"/>
      <c r="B16" s="44"/>
      <c r="C16" s="18"/>
      <c r="D16" s="44"/>
      <c r="E16" s="3"/>
      <c r="F16" s="15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1.6" customHeight="1" spans="1:18" x14ac:dyDescent="0.25">
      <c r="A17" s="25"/>
      <c r="B17" s="44"/>
      <c r="C17" s="44"/>
      <c r="D17" s="44"/>
      <c r="E17" s="44"/>
      <c r="F17" s="45" t="s">
        <v>20</v>
      </c>
      <c r="G17" s="46"/>
      <c r="H17" s="46"/>
      <c r="I17" s="47"/>
      <c r="J17" s="47"/>
      <c r="K17" s="47"/>
      <c r="L17" s="47"/>
      <c r="M17" s="47"/>
      <c r="N17" s="47"/>
      <c r="O17" s="47"/>
      <c r="P17" s="47"/>
      <c r="Q17" s="47"/>
      <c r="R17" s="47"/>
    </row>
    <row r="18" ht="21.6" customHeight="1" spans="1:18" x14ac:dyDescent="0.25">
      <c r="A18" s="25"/>
      <c r="B18" s="44" t="s">
        <v>21</v>
      </c>
      <c r="C18" s="44"/>
      <c r="D18" s="44"/>
      <c r="E18" s="44"/>
      <c r="F18" s="45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</row>
    <row r="19" ht="21.6" customHeight="1" spans="1:18" x14ac:dyDescent="0.25">
      <c r="A19" s="25"/>
      <c r="B19" s="44" t="s">
        <v>22</v>
      </c>
      <c r="C19" s="44"/>
      <c r="D19" s="44"/>
      <c r="E19" s="44"/>
      <c r="F19" s="45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</row>
    <row r="20" ht="21.6" customHeight="1" spans="1:18" x14ac:dyDescent="0.25">
      <c r="A20" s="25"/>
      <c r="D20" s="3"/>
      <c r="E20" s="3"/>
      <c r="F20" s="45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 ht="21.6" customHeight="1" spans="1:18" x14ac:dyDescent="0.25">
      <c r="A21" s="25"/>
      <c r="D21" s="3"/>
      <c r="E21" s="3"/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ht="21.6" customHeight="1" spans="1:18" x14ac:dyDescent="0.25">
      <c r="A22" s="25"/>
      <c r="D22" s="3"/>
      <c r="E22" s="3"/>
      <c r="F22" s="48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ht="21.6" customHeight="1" spans="1:18" x14ac:dyDescent="0.25">
      <c r="A23" s="25"/>
      <c r="D23" s="3"/>
      <c r="E23" s="3"/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ht="21.6" customHeight="1" spans="1:18" x14ac:dyDescent="0.25">
      <c r="A24" s="25"/>
      <c r="D24" s="3"/>
      <c r="E24" s="3"/>
      <c r="F24" s="48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ht="21.6" customHeight="1" spans="1:18" x14ac:dyDescent="0.25">
      <c r="A25" s="25"/>
      <c r="D25" s="3"/>
      <c r="E25" s="3"/>
      <c r="F25" s="48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ht="21.6" customHeight="1" spans="1:18" x14ac:dyDescent="0.25">
      <c r="A26" s="25"/>
      <c r="D26" s="3"/>
      <c r="E26" s="3"/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ht="21.6" customHeight="1" spans="1:18" x14ac:dyDescent="0.25">
      <c r="A27" s="25"/>
      <c r="D27" s="3"/>
      <c r="E27" s="3"/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ht="21.6" customHeight="1" spans="1:16" x14ac:dyDescent="0.25">
      <c r="A28" s="3"/>
      <c r="B28" s="4" t="s">
        <v>23</v>
      </c>
      <c r="C28" s="5" t="str">
        <f>+C2</f>
        <v>Bedstone Poultry Ltd</v>
      </c>
      <c r="E28" s="6" t="s">
        <v>2</v>
      </c>
      <c r="F28" s="7"/>
      <c r="G28" s="7"/>
      <c r="H28" s="7"/>
      <c r="I28" s="7"/>
      <c r="J28" s="8"/>
      <c r="L28" s="3" t="s">
        <v>3</v>
      </c>
      <c r="M28" s="9">
        <v>2</v>
      </c>
      <c r="N28" s="9" t="s">
        <v>4</v>
      </c>
      <c r="O28" s="9">
        <v>9</v>
      </c>
      <c r="P28" s="3"/>
    </row>
    <row r="29" ht="21.6" customHeight="1" spans="1:16" x14ac:dyDescent="0.25">
      <c r="A29" s="3"/>
      <c r="B29" s="10" t="s">
        <v>24</v>
      </c>
      <c r="C29" s="11">
        <f>+C3</f>
        <v>3009</v>
      </c>
      <c r="D29" s="3"/>
      <c r="E29" s="12"/>
      <c r="F29" s="13"/>
      <c r="G29" s="13"/>
      <c r="H29" s="13"/>
      <c r="I29" s="13"/>
      <c r="J29" s="14"/>
      <c r="K29" s="15"/>
      <c r="L29" s="3"/>
      <c r="M29" s="3"/>
      <c r="N29" s="3"/>
      <c r="O29" s="3"/>
      <c r="P29" s="1"/>
    </row>
    <row r="30" ht="21.6" customHeight="1" spans="1:16" x14ac:dyDescent="0.25">
      <c r="A30" s="3"/>
      <c r="B30" s="16" t="s">
        <v>25</v>
      </c>
      <c r="C30" s="17">
        <f>+C4</f>
        <v>NaN</v>
      </c>
      <c r="D30" s="3"/>
      <c r="E30" s="1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9" customHeight="1" x14ac:dyDescent="0.25"/>
    <row r="32" ht="21.6" customHeight="1" spans="1:18" x14ac:dyDescent="0.25">
      <c r="A32" s="3"/>
      <c r="B32" s="3"/>
      <c r="C32" s="19" t="s">
        <v>9</v>
      </c>
      <c r="D32" s="20">
        <f>'Placement Information'!$C$15</f>
        <v>0</v>
      </c>
      <c r="E32" s="20">
        <f>'Placement Information'!$I$15</f>
        <v>0</v>
      </c>
      <c r="F32" s="20">
        <f>'Placement Information'!$O$15</f>
        <v>0</v>
      </c>
      <c r="G32" s="20">
        <f>'Placement Information'!$U$15</f>
        <v>0</v>
      </c>
      <c r="H32" s="20">
        <f>'Placement Information'!$C$28</f>
        <v>0</v>
      </c>
      <c r="I32" s="20">
        <f>'Placement Information'!$I$28</f>
        <v>0</v>
      </c>
      <c r="J32" s="20">
        <f>'Placement Information'!$O$28</f>
        <v>0</v>
      </c>
      <c r="K32" s="20">
        <f>'Placement Information'!$U$28</f>
        <v>0</v>
      </c>
      <c r="L32" s="20">
        <f>'Placement Information'!$C$41</f>
        <v>0</v>
      </c>
      <c r="M32" s="20">
        <f>'Placement Information'!$I$41</f>
        <v>0</v>
      </c>
      <c r="N32" s="20">
        <f>'Placement Information'!$O$41</f>
        <v>0</v>
      </c>
      <c r="O32" s="20">
        <f>'Placement Information'!$U$41</f>
        <v>0</v>
      </c>
      <c r="P32" s="20">
        <f>'Placement Information'!$C$54</f>
        <v>0</v>
      </c>
      <c r="Q32" s="20">
        <f>'Placement Information'!$I$54</f>
        <v>0</v>
      </c>
      <c r="R32" s="21">
        <f>'Placement Information'!$O$54</f>
        <v>0</v>
      </c>
    </row>
    <row r="33" ht="21.6" customHeight="1" spans="1:18" x14ac:dyDescent="0.25">
      <c r="A33" s="3"/>
      <c r="B33" s="3"/>
      <c r="C33" s="22" t="s">
        <v>11</v>
      </c>
      <c r="D33" s="23" t="str">
        <f>'Placement Information'!$D$6</f>
        <v>Ross 308</v>
      </c>
      <c r="E33" s="23" t="str">
        <f>'Placement Information'!$J$6</f>
        <v>Ross 308</v>
      </c>
      <c r="F33" s="23" t="str">
        <f>'Placement Information'!$P$6</f>
        <v>Ross 308</v>
      </c>
      <c r="G33" s="23" t="str">
        <f>'Placement Information'!$V$6</f>
        <v>Ross 308</v>
      </c>
      <c r="H33" s="23" t="str">
        <f>'Placement Information'!$D$19</f>
        <v>Ross 308</v>
      </c>
      <c r="I33" s="23" t="str">
        <f>'Placement Information'!$J$19</f>
        <v>Ross 308</v>
      </c>
      <c r="J33" s="23" t="str">
        <f>'Placement Information'!$P$19</f>
        <v>Ross 308</v>
      </c>
      <c r="K33" s="23" t="str">
        <f>'Placement Information'!$V$19</f>
        <v>Ross 308</v>
      </c>
      <c r="L33" s="23">
        <f>'Placement Information'!$D$32</f>
        <v>0</v>
      </c>
      <c r="M33" s="23">
        <f>'Placement Information'!$J$32</f>
        <v>0</v>
      </c>
      <c r="N33" s="23">
        <f>'Placement Information'!$P$32</f>
        <v>0</v>
      </c>
      <c r="O33" s="23">
        <f>'Placement Information'!$V$32</f>
        <v>0</v>
      </c>
      <c r="P33" s="23">
        <f>'Placement Information'!$D$45</f>
        <v>0</v>
      </c>
      <c r="Q33" s="23">
        <f>'Placement Information'!$J$45</f>
        <v>0</v>
      </c>
      <c r="R33" s="24">
        <f>'Placement Information'!$P$45</f>
        <v>0</v>
      </c>
    </row>
    <row r="34" ht="9" customHeight="1" spans="1:18" x14ac:dyDescent="0.25">
      <c r="A34" s="25"/>
      <c r="B34" s="3"/>
      <c r="C34" s="2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21.6" customHeight="1" spans="1:18" x14ac:dyDescent="0.25">
      <c r="A35" s="25"/>
      <c r="B35" s="3"/>
      <c r="C35" s="26" t="s">
        <v>13</v>
      </c>
      <c r="D35" s="27">
        <v>1</v>
      </c>
      <c r="E35" s="27">
        <v>2</v>
      </c>
      <c r="F35" s="27">
        <v>3</v>
      </c>
      <c r="G35" s="27">
        <v>4</v>
      </c>
      <c r="H35" s="27">
        <v>5</v>
      </c>
      <c r="I35" s="27">
        <v>6</v>
      </c>
      <c r="J35" s="27">
        <v>7</v>
      </c>
      <c r="K35" s="27">
        <v>8</v>
      </c>
      <c r="L35" s="27">
        <v>9</v>
      </c>
      <c r="M35" s="27">
        <v>10</v>
      </c>
      <c r="N35" s="27">
        <v>11</v>
      </c>
      <c r="O35" s="27">
        <v>12</v>
      </c>
      <c r="P35" s="27">
        <v>13</v>
      </c>
      <c r="Q35" s="27">
        <v>14</v>
      </c>
      <c r="R35" s="28">
        <v>15</v>
      </c>
    </row>
    <row r="36" ht="21.6" customHeight="1" spans="1:18" x14ac:dyDescent="0.25">
      <c r="A36" s="25"/>
      <c r="B36" s="3"/>
      <c r="C36" s="29" t="s">
        <v>14</v>
      </c>
      <c r="D36" s="9">
        <v>7</v>
      </c>
      <c r="E36" s="9">
        <v>7</v>
      </c>
      <c r="F36" s="9">
        <v>7</v>
      </c>
      <c r="G36" s="9">
        <v>7</v>
      </c>
      <c r="H36" s="9">
        <v>7</v>
      </c>
      <c r="I36" s="9">
        <v>7</v>
      </c>
      <c r="J36" s="9">
        <v>7</v>
      </c>
      <c r="K36" s="9">
        <v>7</v>
      </c>
      <c r="L36" s="9">
        <v>7</v>
      </c>
      <c r="M36" s="9">
        <v>7</v>
      </c>
      <c r="N36" s="9">
        <v>7</v>
      </c>
      <c r="O36" s="9">
        <v>7</v>
      </c>
      <c r="P36" s="9">
        <v>7</v>
      </c>
      <c r="Q36" s="9">
        <v>7</v>
      </c>
      <c r="R36" s="30">
        <v>7</v>
      </c>
    </row>
    <row r="37" ht="21.6" customHeight="1" spans="1:18" x14ac:dyDescent="0.25">
      <c r="A37" s="25"/>
      <c r="B37" s="31" t="s">
        <v>26</v>
      </c>
      <c r="C37" s="29" t="s">
        <v>16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3"/>
    </row>
    <row r="38" ht="21.6" customHeight="1" spans="1:18" x14ac:dyDescent="0.25">
      <c r="A38" s="25"/>
      <c r="B38" s="34" t="s">
        <v>26</v>
      </c>
      <c r="C38" s="29" t="s">
        <v>27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6"/>
    </row>
    <row r="39" ht="21.6" customHeight="1" spans="1:18" x14ac:dyDescent="0.25">
      <c r="A39" s="25"/>
      <c r="B39" s="34" t="s">
        <v>26</v>
      </c>
      <c r="C39" s="29" t="s">
        <v>28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6"/>
    </row>
    <row r="40" ht="21.6" customHeight="1" spans="1:18" x14ac:dyDescent="0.25">
      <c r="A40" s="25"/>
      <c r="B40" s="37" t="s">
        <v>29</v>
      </c>
      <c r="C40" s="38" t="s">
        <v>30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40"/>
    </row>
    <row r="41" ht="9" customHeight="1" spans="1:18" x14ac:dyDescent="0.25">
      <c r="A41" s="25"/>
      <c r="B41" s="3"/>
      <c r="C41" s="2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21.6" customHeight="1" spans="1:18" x14ac:dyDescent="0.25">
      <c r="A42" s="25"/>
      <c r="B42" s="3"/>
      <c r="C42" s="4" t="s">
        <v>31</v>
      </c>
      <c r="D42" s="50">
        <f>D40/(VLOOKUP(D36,Standards!$A:$B,2,FALSE))</f>
        <v>0</v>
      </c>
      <c r="E42" s="50">
        <f>E40/(VLOOKUP(E36,Standards!$A:$B,2,FALSE))</f>
        <v>0</v>
      </c>
      <c r="F42" s="50">
        <f>F40/(VLOOKUP(F36,Standards!$A:$B,2,FALSE))</f>
        <v>0</v>
      </c>
      <c r="G42" s="50">
        <f>G40/(VLOOKUP(G36,Standards!$A:$B,2,FALSE))</f>
        <v>0</v>
      </c>
      <c r="H42" s="50">
        <f>H40/(VLOOKUP(H36,Standards!$A:$B,2,FALSE))</f>
        <v>0</v>
      </c>
      <c r="I42" s="50">
        <f>I40/(VLOOKUP(I36,Standards!$A:$B,2,FALSE))</f>
        <v>0</v>
      </c>
      <c r="J42" s="50">
        <f>J40/(VLOOKUP(J36,Standards!$A:$B,2,FALSE))</f>
        <v>0</v>
      </c>
      <c r="K42" s="50">
        <f>K40/(VLOOKUP(K36,Standards!$A:$B,2,FALSE))</f>
        <v>0</v>
      </c>
      <c r="L42" s="50">
        <f>L40/(VLOOKUP(L36,Standards!$A:$B,2,FALSE))</f>
        <v>0</v>
      </c>
      <c r="M42" s="50">
        <f>M40/(VLOOKUP(M36,Standards!$A:$B,2,FALSE))</f>
        <v>0</v>
      </c>
      <c r="N42" s="50">
        <f>N40/(VLOOKUP(N36,Standards!$A:$B,2,FALSE))</f>
        <v>0</v>
      </c>
      <c r="O42" s="50">
        <f>O40/(VLOOKUP(O36,Standards!$A:$B,2,FALSE))</f>
        <v>0</v>
      </c>
      <c r="P42" s="50">
        <f>P40/(VLOOKUP(P36,Standards!$A:$B,2,FALSE))</f>
        <v>0</v>
      </c>
      <c r="Q42" s="50">
        <f>Q40/(VLOOKUP(Q36,Standards!$A:$B,2,FALSE))</f>
        <v>0</v>
      </c>
      <c r="R42" s="51">
        <f>R40/(VLOOKUP(R36,Standards!$A:$B,2,FALSE))</f>
        <v>0</v>
      </c>
    </row>
    <row r="43" ht="21.6" customHeight="1" spans="1:18" x14ac:dyDescent="0.25">
      <c r="A43" s="25"/>
      <c r="B43" s="3"/>
      <c r="C43" s="16" t="s">
        <v>19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2"/>
      <c r="R43" s="43">
        <f>SUM(D43:K43)/8</f>
        <v>0</v>
      </c>
    </row>
    <row r="44" ht="9" customHeight="1" spans="1:16" x14ac:dyDescent="0.25">
      <c r="A44" s="18"/>
      <c r="B44" s="44"/>
      <c r="C44" s="18"/>
      <c r="D44" s="44"/>
      <c r="E44" s="3"/>
      <c r="F44" s="15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21.6" customHeight="1" spans="1:18" x14ac:dyDescent="0.25">
      <c r="A45" s="25"/>
      <c r="B45" s="44" t="s">
        <v>32</v>
      </c>
      <c r="C45" s="44"/>
      <c r="D45" s="44"/>
      <c r="E45" s="44"/>
      <c r="F45" s="45" t="s">
        <v>20</v>
      </c>
      <c r="G45" s="46"/>
      <c r="H45" s="46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ht="21.6" customHeight="1" spans="1:18" x14ac:dyDescent="0.25">
      <c r="A46" s="25"/>
      <c r="B46" s="44" t="s">
        <v>33</v>
      </c>
      <c r="C46" s="44"/>
      <c r="D46" s="44"/>
      <c r="E46" s="44"/>
      <c r="F46" s="45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 ht="21.6" customHeight="1" spans="1:18" x14ac:dyDescent="0.25">
      <c r="A47" s="25"/>
      <c r="B47" s="44" t="s">
        <v>22</v>
      </c>
      <c r="C47" s="44"/>
      <c r="D47" s="44"/>
      <c r="E47" s="44"/>
      <c r="F47" s="45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</row>
    <row r="48" ht="21.6" customHeight="1" spans="1:18" x14ac:dyDescent="0.25">
      <c r="A48" s="25"/>
      <c r="D48" s="3"/>
      <c r="E48" s="3"/>
      <c r="F48" s="45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 spans="4:16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4:16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4:16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4:16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4:16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4:16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6.5" customHeight="1" spans="4:16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1.6" customHeight="1" spans="1:16" x14ac:dyDescent="0.25">
      <c r="A56" s="3"/>
      <c r="B56" s="4" t="s">
        <v>23</v>
      </c>
      <c r="C56" s="5" t="str">
        <f>C2</f>
        <v>Bedstone Poultry Ltd</v>
      </c>
      <c r="E56" s="6" t="s">
        <v>2</v>
      </c>
      <c r="F56" s="7"/>
      <c r="G56" s="7"/>
      <c r="H56" s="7"/>
      <c r="I56" s="7"/>
      <c r="J56" s="8"/>
      <c r="L56" s="3" t="s">
        <v>3</v>
      </c>
      <c r="M56" s="9">
        <v>3</v>
      </c>
      <c r="N56" s="9" t="s">
        <v>4</v>
      </c>
      <c r="O56" s="9">
        <v>9</v>
      </c>
      <c r="P56" s="3"/>
    </row>
    <row r="57" ht="21.6" customHeight="1" spans="1:16" x14ac:dyDescent="0.25">
      <c r="A57" s="3"/>
      <c r="B57" s="10" t="s">
        <v>24</v>
      </c>
      <c r="C57" s="11">
        <f>C3</f>
        <v>3009</v>
      </c>
      <c r="D57" s="3"/>
      <c r="E57" s="12"/>
      <c r="F57" s="13"/>
      <c r="G57" s="13"/>
      <c r="H57" s="13"/>
      <c r="I57" s="13"/>
      <c r="J57" s="14"/>
      <c r="K57" s="15"/>
      <c r="L57" s="3"/>
      <c r="M57" s="3"/>
      <c r="N57" s="3"/>
      <c r="O57" s="3"/>
      <c r="P57" s="1"/>
    </row>
    <row r="58" ht="21.6" customHeight="1" spans="1:16" x14ac:dyDescent="0.25">
      <c r="A58" s="3"/>
      <c r="B58" s="16" t="s">
        <v>25</v>
      </c>
      <c r="C58" s="17">
        <f>C4</f>
        <v>NaN</v>
      </c>
      <c r="D58" s="3"/>
      <c r="E58" s="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9" customHeight="1" x14ac:dyDescent="0.25"/>
    <row r="60" ht="21.6" customHeight="1" spans="1:18" x14ac:dyDescent="0.25">
      <c r="A60" s="3"/>
      <c r="B60" s="3"/>
      <c r="C60" s="19" t="s">
        <v>9</v>
      </c>
      <c r="D60" s="20">
        <f>'Placement Information'!$C$15</f>
        <v>0</v>
      </c>
      <c r="E60" s="20">
        <f>'Placement Information'!$I$15</f>
        <v>0</v>
      </c>
      <c r="F60" s="20">
        <f>'Placement Information'!$O$15</f>
        <v>0</v>
      </c>
      <c r="G60" s="20">
        <f>'Placement Information'!$U$15</f>
        <v>0</v>
      </c>
      <c r="H60" s="20">
        <f>'Placement Information'!$C$28</f>
        <v>0</v>
      </c>
      <c r="I60" s="20">
        <f>'Placement Information'!$I$28</f>
        <v>0</v>
      </c>
      <c r="J60" s="20">
        <f>'Placement Information'!$O$28</f>
        <v>0</v>
      </c>
      <c r="K60" s="20">
        <f>'Placement Information'!$U$28</f>
        <v>0</v>
      </c>
      <c r="L60" s="20">
        <f>'Placement Information'!$C$41</f>
        <v>0</v>
      </c>
      <c r="M60" s="20">
        <f>'Placement Information'!$I$41</f>
        <v>0</v>
      </c>
      <c r="N60" s="20">
        <f>'Placement Information'!$O$41</f>
        <v>0</v>
      </c>
      <c r="O60" s="20">
        <f>'Placement Information'!$U$41</f>
        <v>0</v>
      </c>
      <c r="P60" s="20">
        <f>'Placement Information'!$C$54</f>
        <v>0</v>
      </c>
      <c r="Q60" s="20">
        <f>'Placement Information'!$I$54</f>
        <v>0</v>
      </c>
      <c r="R60" s="21">
        <f>'Placement Information'!$O$54</f>
        <v>0</v>
      </c>
    </row>
    <row r="61" ht="21.6" customHeight="1" spans="1:18" x14ac:dyDescent="0.25">
      <c r="A61" s="3"/>
      <c r="B61" s="3"/>
      <c r="C61" s="22" t="s">
        <v>11</v>
      </c>
      <c r="D61" s="23" t="str">
        <f>'Placement Information'!$D$6</f>
        <v>Ross 308</v>
      </c>
      <c r="E61" s="23" t="str">
        <f>'Placement Information'!$J$6</f>
        <v>Ross 308</v>
      </c>
      <c r="F61" s="23" t="str">
        <f>'Placement Information'!$P$6</f>
        <v>Ross 308</v>
      </c>
      <c r="G61" s="23" t="str">
        <f>'Placement Information'!$V$6</f>
        <v>Ross 308</v>
      </c>
      <c r="H61" s="23" t="str">
        <f>'Placement Information'!$D$19</f>
        <v>Ross 308</v>
      </c>
      <c r="I61" s="23" t="str">
        <f>'Placement Information'!$J$19</f>
        <v>Ross 308</v>
      </c>
      <c r="J61" s="23" t="str">
        <f>'Placement Information'!$P$19</f>
        <v>Ross 308</v>
      </c>
      <c r="K61" s="23" t="str">
        <f>'Placement Information'!$V$19</f>
        <v>Ross 308</v>
      </c>
      <c r="L61" s="23">
        <f>'Placement Information'!$D$32</f>
        <v>0</v>
      </c>
      <c r="M61" s="23">
        <f>'Placement Information'!$J$32</f>
        <v>0</v>
      </c>
      <c r="N61" s="23">
        <f>'Placement Information'!$P$32</f>
        <v>0</v>
      </c>
      <c r="O61" s="23">
        <f>'Placement Information'!$V$32</f>
        <v>0</v>
      </c>
      <c r="P61" s="23">
        <f>'Placement Information'!$D$45</f>
        <v>0</v>
      </c>
      <c r="Q61" s="23">
        <f>'Placement Information'!$J$45</f>
        <v>0</v>
      </c>
      <c r="R61" s="24">
        <f>'Placement Information'!$P$45</f>
        <v>0</v>
      </c>
    </row>
    <row r="62" ht="9" customHeight="1" spans="1:18" x14ac:dyDescent="0.25">
      <c r="A62" s="25"/>
      <c r="B62" s="3"/>
      <c r="C62" s="2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21.6" customHeight="1" spans="1:18" x14ac:dyDescent="0.25">
      <c r="A63" s="25"/>
      <c r="B63" s="3"/>
      <c r="C63" s="26" t="s">
        <v>13</v>
      </c>
      <c r="D63" s="27">
        <v>1</v>
      </c>
      <c r="E63" s="27">
        <v>2</v>
      </c>
      <c r="F63" s="27">
        <v>3</v>
      </c>
      <c r="G63" s="27">
        <v>4</v>
      </c>
      <c r="H63" s="27">
        <v>5</v>
      </c>
      <c r="I63" s="27">
        <v>6</v>
      </c>
      <c r="J63" s="27">
        <v>7</v>
      </c>
      <c r="K63" s="27">
        <v>8</v>
      </c>
      <c r="L63" s="27">
        <v>9</v>
      </c>
      <c r="M63" s="27">
        <v>10</v>
      </c>
      <c r="N63" s="27">
        <v>11</v>
      </c>
      <c r="O63" s="27">
        <v>12</v>
      </c>
      <c r="P63" s="27">
        <v>13</v>
      </c>
      <c r="Q63" s="27">
        <v>14</v>
      </c>
      <c r="R63" s="28">
        <v>15</v>
      </c>
    </row>
    <row r="64" ht="21.6" customHeight="1" spans="1:18" x14ac:dyDescent="0.25">
      <c r="A64" s="25"/>
      <c r="B64" s="3"/>
      <c r="C64" s="29" t="s">
        <v>14</v>
      </c>
      <c r="D64" s="9">
        <v>14</v>
      </c>
      <c r="E64" s="9">
        <v>14</v>
      </c>
      <c r="F64" s="9">
        <v>14</v>
      </c>
      <c r="G64" s="9">
        <v>14</v>
      </c>
      <c r="H64" s="9">
        <v>14</v>
      </c>
      <c r="I64" s="9">
        <v>14</v>
      </c>
      <c r="J64" s="9">
        <v>14</v>
      </c>
      <c r="K64" s="9">
        <v>14</v>
      </c>
      <c r="L64" s="9">
        <v>14</v>
      </c>
      <c r="M64" s="9">
        <v>14</v>
      </c>
      <c r="N64" s="9">
        <v>14</v>
      </c>
      <c r="O64" s="9">
        <v>14</v>
      </c>
      <c r="P64" s="9">
        <v>14</v>
      </c>
      <c r="Q64" s="9">
        <v>14</v>
      </c>
      <c r="R64" s="30">
        <v>14</v>
      </c>
    </row>
    <row r="65" ht="21.6" customHeight="1" spans="1:18" x14ac:dyDescent="0.25">
      <c r="A65" s="25"/>
      <c r="B65" s="31" t="s">
        <v>34</v>
      </c>
      <c r="C65" s="29" t="s">
        <v>16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3"/>
    </row>
    <row r="66" ht="21.6" customHeight="1" spans="1:18" x14ac:dyDescent="0.25">
      <c r="A66" s="25"/>
      <c r="B66" s="34" t="s">
        <v>34</v>
      </c>
      <c r="C66" s="29" t="s">
        <v>27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6"/>
    </row>
    <row r="67" ht="21.6" customHeight="1" spans="1:18" x14ac:dyDescent="0.25">
      <c r="A67" s="25"/>
      <c r="B67" s="34" t="s">
        <v>34</v>
      </c>
      <c r="C67" s="29" t="s">
        <v>28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6"/>
    </row>
    <row r="68" ht="21.6" customHeight="1" spans="1:18" x14ac:dyDescent="0.25">
      <c r="A68" s="25"/>
      <c r="B68" s="37" t="s">
        <v>35</v>
      </c>
      <c r="C68" s="38" t="s">
        <v>30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0"/>
    </row>
    <row r="69" ht="9" customHeight="1" spans="1:18" x14ac:dyDescent="0.25">
      <c r="A69" s="25"/>
      <c r="B69" s="3"/>
      <c r="C69" s="2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21.6" customHeight="1" spans="1:18" x14ac:dyDescent="0.25">
      <c r="A70" s="25"/>
      <c r="B70" s="3"/>
      <c r="C70" s="4" t="s">
        <v>31</v>
      </c>
      <c r="D70" s="50">
        <f>D68/(VLOOKUP(D64,Standards!$A:$B,2,FALSE))</f>
        <v>0</v>
      </c>
      <c r="E70" s="50">
        <f>E68/(VLOOKUP(E64,Standards!$A:$B,2,FALSE))</f>
        <v>0</v>
      </c>
      <c r="F70" s="50">
        <f>F68/(VLOOKUP(F64,Standards!$A:$B,2,FALSE))</f>
        <v>0</v>
      </c>
      <c r="G70" s="50">
        <f>G68/(VLOOKUP(G64,Standards!$A:$B,2,FALSE))</f>
        <v>0</v>
      </c>
      <c r="H70" s="50">
        <f>H68/(VLOOKUP(H64,Standards!$A:$B,2,FALSE))</f>
        <v>0</v>
      </c>
      <c r="I70" s="50">
        <f>I68/(VLOOKUP(I64,Standards!$A:$B,2,FALSE))</f>
        <v>0</v>
      </c>
      <c r="J70" s="50">
        <f>J68/(VLOOKUP(J64,Standards!$A:$B,2,FALSE))</f>
        <v>0</v>
      </c>
      <c r="K70" s="50">
        <f>K68/(VLOOKUP(K64,Standards!$A:$B,2,FALSE))</f>
        <v>0</v>
      </c>
      <c r="L70" s="50">
        <f>L68/(VLOOKUP(L64,Standards!$A:$B,2,FALSE))</f>
        <v>0</v>
      </c>
      <c r="M70" s="50">
        <f>M68/(VLOOKUP(M64,Standards!$A:$B,2,FALSE))</f>
        <v>0</v>
      </c>
      <c r="N70" s="50">
        <f>N68/(VLOOKUP(N64,Standards!$A:$B,2,FALSE))</f>
        <v>0</v>
      </c>
      <c r="O70" s="50">
        <f>O68/(VLOOKUP(O64,Standards!$A:$B,2,FALSE))</f>
        <v>0</v>
      </c>
      <c r="P70" s="50">
        <f>P68/(VLOOKUP(P64,Standards!$A:$B,2,FALSE))</f>
        <v>0</v>
      </c>
      <c r="Q70" s="50">
        <f>Q68/(VLOOKUP(Q64,Standards!$A:$B,2,FALSE))</f>
        <v>0</v>
      </c>
      <c r="R70" s="52">
        <f>R68/(VLOOKUP(R64,Standards!$A:$B,2,FALSE))</f>
        <v>0</v>
      </c>
    </row>
    <row r="71" ht="21.6" customHeight="1" spans="1:18" x14ac:dyDescent="0.25">
      <c r="A71" s="25"/>
      <c r="B71" s="3"/>
      <c r="C71" s="16" t="s">
        <v>19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3">
        <f>SUM(D71:K71)/8</f>
        <v>0</v>
      </c>
    </row>
    <row r="72" ht="9" customHeight="1" spans="1:16" x14ac:dyDescent="0.25">
      <c r="A72" s="18"/>
      <c r="B72" s="44"/>
      <c r="C72" s="18"/>
      <c r="D72" s="44"/>
      <c r="E72" s="3"/>
      <c r="F72" s="15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21.6" customHeight="1" spans="1:18" x14ac:dyDescent="0.25">
      <c r="A73" s="25"/>
      <c r="B73" s="44" t="s">
        <v>36</v>
      </c>
      <c r="C73" s="44"/>
      <c r="D73" s="44"/>
      <c r="E73" s="44"/>
      <c r="F73" s="45" t="s">
        <v>20</v>
      </c>
      <c r="G73" s="46"/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 ht="21.6" customHeight="1" spans="1:18" x14ac:dyDescent="0.25">
      <c r="A74" s="25"/>
      <c r="B74" s="44" t="s">
        <v>37</v>
      </c>
      <c r="C74" s="44"/>
      <c r="D74" s="44"/>
      <c r="E74" s="44"/>
      <c r="F74" s="4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 ht="21.6" customHeight="1" spans="1:18" x14ac:dyDescent="0.25">
      <c r="A75" s="25"/>
      <c r="B75" s="44" t="s">
        <v>22</v>
      </c>
      <c r="C75" s="44"/>
      <c r="D75" s="44"/>
      <c r="E75" s="44"/>
      <c r="F75" s="45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 ht="21.6" customHeight="1" spans="1:18" x14ac:dyDescent="0.25">
      <c r="A76" s="25"/>
      <c r="D76" s="3"/>
      <c r="E76" s="3"/>
      <c r="F76" s="45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 ht="16.15" customHeight="1" spans="1:18" x14ac:dyDescent="0.25">
      <c r="A77" s="25"/>
      <c r="D77" s="3"/>
      <c r="E77" s="3"/>
      <c r="F77" s="53"/>
      <c r="G77" s="3"/>
      <c r="H77" s="3"/>
      <c r="I77" s="54"/>
      <c r="J77" s="54"/>
      <c r="K77" s="54"/>
      <c r="L77" s="54"/>
      <c r="M77" s="54"/>
      <c r="N77" s="54"/>
      <c r="O77" s="54"/>
      <c r="P77" s="54"/>
      <c r="Q77" s="54"/>
      <c r="R77" s="54"/>
    </row>
    <row r="78" ht="16.15" customHeight="1" spans="1:18" x14ac:dyDescent="0.25">
      <c r="A78" s="25"/>
      <c r="D78" s="3"/>
      <c r="E78" s="3"/>
      <c r="F78" s="53"/>
      <c r="G78" s="3"/>
      <c r="H78" s="3"/>
      <c r="I78" s="54"/>
      <c r="J78" s="54"/>
      <c r="K78" s="54"/>
      <c r="L78" s="54"/>
      <c r="M78" s="54"/>
      <c r="N78" s="54"/>
      <c r="O78" s="54"/>
      <c r="P78" s="54"/>
      <c r="Q78" s="54"/>
      <c r="R78" s="54"/>
    </row>
    <row r="79" ht="16.15" customHeight="1" spans="4:16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6.15" customHeight="1" spans="4:16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6.15" customHeight="1" x14ac:dyDescent="0.25"/>
    <row r="82" ht="16.15" customHeight="1" x14ac:dyDescent="0.25"/>
    <row r="83" ht="16.15" customHeight="1" x14ac:dyDescent="0.25"/>
    <row r="84" ht="21.6" customHeight="1" spans="1:16" x14ac:dyDescent="0.25">
      <c r="A84" s="3"/>
      <c r="B84" s="4" t="s">
        <v>23</v>
      </c>
      <c r="C84" s="5" t="str">
        <f>C56</f>
        <v>Bedstone Poultry Ltd</v>
      </c>
      <c r="E84" s="6" t="s">
        <v>2</v>
      </c>
      <c r="F84" s="7"/>
      <c r="G84" s="7"/>
      <c r="H84" s="7"/>
      <c r="I84" s="7"/>
      <c r="J84" s="8"/>
      <c r="L84" s="3" t="s">
        <v>3</v>
      </c>
      <c r="M84" s="9">
        <v>4</v>
      </c>
      <c r="N84" s="9" t="s">
        <v>4</v>
      </c>
      <c r="O84" s="9">
        <v>9</v>
      </c>
      <c r="P84" s="3"/>
    </row>
    <row r="85" ht="21.6" customHeight="1" spans="1:16" x14ac:dyDescent="0.25">
      <c r="A85" s="3"/>
      <c r="B85" s="10" t="s">
        <v>24</v>
      </c>
      <c r="C85" s="11">
        <f>C57</f>
        <v>3009</v>
      </c>
      <c r="D85" s="3"/>
      <c r="E85" s="12"/>
      <c r="F85" s="13"/>
      <c r="G85" s="13"/>
      <c r="H85" s="13"/>
      <c r="I85" s="13"/>
      <c r="J85" s="14"/>
      <c r="K85" s="15"/>
      <c r="L85" s="3"/>
      <c r="M85" s="3"/>
      <c r="N85" s="3"/>
      <c r="O85" s="3"/>
      <c r="P85" s="1"/>
    </row>
    <row r="86" ht="21.6" customHeight="1" spans="1:16" x14ac:dyDescent="0.25">
      <c r="A86" s="3"/>
      <c r="B86" s="16" t="s">
        <v>25</v>
      </c>
      <c r="C86" s="17">
        <f>C58</f>
        <v>NaN</v>
      </c>
      <c r="D86" s="3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9" customHeight="1" x14ac:dyDescent="0.25"/>
    <row r="88" ht="21.6" customHeight="1" spans="1:18" x14ac:dyDescent="0.25">
      <c r="A88" s="3"/>
      <c r="B88" s="3"/>
      <c r="C88" s="19" t="s">
        <v>9</v>
      </c>
      <c r="D88" s="20">
        <f>'Placement Information'!$C$15</f>
        <v>0</v>
      </c>
      <c r="E88" s="20">
        <f>'Placement Information'!$I$15</f>
        <v>0</v>
      </c>
      <c r="F88" s="20">
        <f>'Placement Information'!$O$15</f>
        <v>0</v>
      </c>
      <c r="G88" s="20">
        <f>'Placement Information'!$U$15</f>
        <v>0</v>
      </c>
      <c r="H88" s="20">
        <f>'Placement Information'!$C$28</f>
        <v>0</v>
      </c>
      <c r="I88" s="20">
        <f>'Placement Information'!$I$28</f>
        <v>0</v>
      </c>
      <c r="J88" s="20">
        <f>'Placement Information'!$O$28</f>
        <v>0</v>
      </c>
      <c r="K88" s="20">
        <f>'Placement Information'!$U$28</f>
        <v>0</v>
      </c>
      <c r="L88" s="20">
        <f>'Placement Information'!$C$41</f>
        <v>0</v>
      </c>
      <c r="M88" s="20">
        <f>'Placement Information'!$I$41</f>
        <v>0</v>
      </c>
      <c r="N88" s="20">
        <f>'Placement Information'!$O$41</f>
        <v>0</v>
      </c>
      <c r="O88" s="20">
        <f>'Placement Information'!$U$41</f>
        <v>0</v>
      </c>
      <c r="P88" s="20">
        <f>'Placement Information'!$C$54</f>
        <v>0</v>
      </c>
      <c r="Q88" s="20">
        <f>'Placement Information'!$I$54</f>
        <v>0</v>
      </c>
      <c r="R88" s="21">
        <f>'Placement Information'!$O$54</f>
        <v>0</v>
      </c>
    </row>
    <row r="89" ht="21.6" customHeight="1" spans="1:18" x14ac:dyDescent="0.25">
      <c r="A89" s="3"/>
      <c r="B89" s="3"/>
      <c r="C89" s="22" t="s">
        <v>11</v>
      </c>
      <c r="D89" s="23" t="str">
        <f>'Placement Information'!$D$6</f>
        <v>Ross 308</v>
      </c>
      <c r="E89" s="23" t="str">
        <f>'Placement Information'!$J$6</f>
        <v>Ross 308</v>
      </c>
      <c r="F89" s="23" t="str">
        <f>'Placement Information'!$P$6</f>
        <v>Ross 308</v>
      </c>
      <c r="G89" s="23" t="str">
        <f>'Placement Information'!$V$6</f>
        <v>Ross 308</v>
      </c>
      <c r="H89" s="23" t="str">
        <f>'Placement Information'!$D$19</f>
        <v>Ross 308</v>
      </c>
      <c r="I89" s="23" t="str">
        <f>'Placement Information'!$J$19</f>
        <v>Ross 308</v>
      </c>
      <c r="J89" s="23" t="str">
        <f>'Placement Information'!$P$19</f>
        <v>Ross 308</v>
      </c>
      <c r="K89" s="23" t="str">
        <f>'Placement Information'!$V$19</f>
        <v>Ross 308</v>
      </c>
      <c r="L89" s="23">
        <f>'Placement Information'!$D$32</f>
        <v>0</v>
      </c>
      <c r="M89" s="23">
        <f>'Placement Information'!$J$32</f>
        <v>0</v>
      </c>
      <c r="N89" s="23">
        <f>'Placement Information'!$P$32</f>
        <v>0</v>
      </c>
      <c r="O89" s="23">
        <f>'Placement Information'!$V$32</f>
        <v>0</v>
      </c>
      <c r="P89" s="23">
        <f>'Placement Information'!$D$45</f>
        <v>0</v>
      </c>
      <c r="Q89" s="23">
        <f>'Placement Information'!$J$45</f>
        <v>0</v>
      </c>
      <c r="R89" s="24">
        <f>'Placement Information'!$P$45</f>
        <v>0</v>
      </c>
    </row>
    <row r="90" ht="9" customHeight="1" spans="1:18" x14ac:dyDescent="0.25">
      <c r="A90" s="25"/>
      <c r="B90" s="3"/>
      <c r="C90" s="2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21.6" customHeight="1" spans="1:18" x14ac:dyDescent="0.25">
      <c r="A91" s="25"/>
      <c r="B91" s="3"/>
      <c r="C91" s="26" t="s">
        <v>13</v>
      </c>
      <c r="D91" s="27">
        <v>1</v>
      </c>
      <c r="E91" s="27">
        <v>2</v>
      </c>
      <c r="F91" s="27">
        <v>3</v>
      </c>
      <c r="G91" s="27">
        <v>4</v>
      </c>
      <c r="H91" s="27">
        <v>5</v>
      </c>
      <c r="I91" s="27">
        <v>6</v>
      </c>
      <c r="J91" s="27">
        <v>7</v>
      </c>
      <c r="K91" s="27">
        <v>8</v>
      </c>
      <c r="L91" s="27">
        <v>9</v>
      </c>
      <c r="M91" s="27">
        <v>10</v>
      </c>
      <c r="N91" s="27">
        <v>11</v>
      </c>
      <c r="O91" s="27">
        <v>12</v>
      </c>
      <c r="P91" s="27">
        <v>13</v>
      </c>
      <c r="Q91" s="27">
        <v>14</v>
      </c>
      <c r="R91" s="28">
        <v>15</v>
      </c>
    </row>
    <row r="92" ht="21.6" customHeight="1" spans="1:18" x14ac:dyDescent="0.25">
      <c r="A92" s="25"/>
      <c r="B92" s="3"/>
      <c r="C92" s="29" t="s">
        <v>14</v>
      </c>
      <c r="D92" s="9">
        <v>21</v>
      </c>
      <c r="E92" s="9">
        <v>21</v>
      </c>
      <c r="F92" s="9">
        <v>21</v>
      </c>
      <c r="G92" s="9">
        <v>21</v>
      </c>
      <c r="H92" s="9">
        <v>21</v>
      </c>
      <c r="I92" s="9">
        <v>21</v>
      </c>
      <c r="J92" s="9">
        <v>21</v>
      </c>
      <c r="K92" s="9">
        <v>21</v>
      </c>
      <c r="L92" s="9">
        <v>21</v>
      </c>
      <c r="M92" s="9">
        <v>21</v>
      </c>
      <c r="N92" s="9">
        <v>21</v>
      </c>
      <c r="O92" s="9">
        <v>21</v>
      </c>
      <c r="P92" s="9">
        <v>21</v>
      </c>
      <c r="Q92" s="9">
        <v>21</v>
      </c>
      <c r="R92" s="30">
        <v>21</v>
      </c>
    </row>
    <row r="93" ht="21.6" customHeight="1" spans="1:18" x14ac:dyDescent="0.25">
      <c r="A93" s="25"/>
      <c r="B93" s="31" t="s">
        <v>38</v>
      </c>
      <c r="C93" s="29" t="s">
        <v>16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3"/>
    </row>
    <row r="94" ht="21.6" customHeight="1" spans="1:18" x14ac:dyDescent="0.25">
      <c r="A94" s="25"/>
      <c r="B94" s="34" t="s">
        <v>38</v>
      </c>
      <c r="C94" s="29" t="s">
        <v>27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6"/>
    </row>
    <row r="95" ht="21.6" customHeight="1" spans="1:18" x14ac:dyDescent="0.25">
      <c r="A95" s="25"/>
      <c r="B95" s="34" t="s">
        <v>38</v>
      </c>
      <c r="C95" s="29" t="s">
        <v>28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6"/>
    </row>
    <row r="96" ht="21.6" customHeight="1" spans="1:18" x14ac:dyDescent="0.25">
      <c r="A96" s="25"/>
      <c r="B96" s="37" t="s">
        <v>39</v>
      </c>
      <c r="C96" s="38" t="s">
        <v>30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40"/>
    </row>
    <row r="97" ht="9" customHeight="1" spans="1:18" x14ac:dyDescent="0.25">
      <c r="A97" s="25"/>
      <c r="B97" s="3"/>
      <c r="C97" s="2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21.6" customHeight="1" spans="1:18" x14ac:dyDescent="0.25">
      <c r="A98" s="25"/>
      <c r="B98" s="3"/>
      <c r="C98" s="4" t="s">
        <v>31</v>
      </c>
      <c r="D98" s="50">
        <f>D96/(VLOOKUP(D92,Standards!$A:$B,2,FALSE))</f>
        <v>0</v>
      </c>
      <c r="E98" s="50">
        <f>E96/(VLOOKUP(E92,Standards!$A:$B,2,FALSE))</f>
        <v>0</v>
      </c>
      <c r="F98" s="50">
        <f>F96/(VLOOKUP(F92,Standards!$A:$B,2,FALSE))</f>
        <v>0</v>
      </c>
      <c r="G98" s="50">
        <f>G96/(VLOOKUP(G92,Standards!$A:$B,2,FALSE))</f>
        <v>0</v>
      </c>
      <c r="H98" s="50">
        <f>H96/(VLOOKUP(H92,Standards!$A:$B,2,FALSE))</f>
        <v>0</v>
      </c>
      <c r="I98" s="50">
        <f>I96/(VLOOKUP(I92,Standards!$A:$B,2,FALSE))</f>
        <v>0</v>
      </c>
      <c r="J98" s="50">
        <f>J96/(VLOOKUP(J92,Standards!$A:$B,2,FALSE))</f>
        <v>0</v>
      </c>
      <c r="K98" s="50">
        <f>K96/(VLOOKUP(K92,Standards!$A:$B,2,FALSE))</f>
        <v>0</v>
      </c>
      <c r="L98" s="50">
        <f>L96/(VLOOKUP(L92,Standards!$A:$B,2,FALSE))</f>
        <v>0</v>
      </c>
      <c r="M98" s="50">
        <f>M96/(VLOOKUP(M92,Standards!$A:$B,2,FALSE))</f>
        <v>0</v>
      </c>
      <c r="N98" s="50">
        <f>N96/(VLOOKUP(N92,Standards!$A:$B,2,FALSE))</f>
        <v>0</v>
      </c>
      <c r="O98" s="50">
        <f>O96/(VLOOKUP(O92,Standards!$A:$B,2,FALSE))</f>
        <v>0</v>
      </c>
      <c r="P98" s="50">
        <f>P96/(VLOOKUP(P92,Standards!$A:$B,2,FALSE))</f>
        <v>0</v>
      </c>
      <c r="Q98" s="50">
        <f>Q96/(VLOOKUP(Q92,Standards!$A:$B,2,FALSE))</f>
        <v>0</v>
      </c>
      <c r="R98" s="52">
        <f>R96/(VLOOKUP(R92,Standards!$A:$B,2,FALSE))</f>
        <v>0</v>
      </c>
    </row>
    <row r="99" ht="21.6" customHeight="1" spans="1:18" x14ac:dyDescent="0.25">
      <c r="A99" s="25"/>
      <c r="B99" s="3"/>
      <c r="C99" s="55" t="s">
        <v>40</v>
      </c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7"/>
    </row>
    <row r="100" ht="21.6" customHeight="1" spans="1:18" x14ac:dyDescent="0.25">
      <c r="A100" s="25"/>
      <c r="B100" s="3"/>
      <c r="C100" s="16" t="s">
        <v>19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3">
        <f>SUM(D100:K100)/8</f>
        <v>0</v>
      </c>
    </row>
    <row r="101" ht="9" customHeight="1" spans="1:16" x14ac:dyDescent="0.25">
      <c r="A101" s="18"/>
      <c r="B101" s="44"/>
      <c r="C101" s="18"/>
      <c r="D101" s="44"/>
      <c r="E101" s="3"/>
      <c r="F101" s="15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21.6" customHeight="1" spans="1:18" x14ac:dyDescent="0.25">
      <c r="A102" s="25"/>
      <c r="B102" s="44" t="s">
        <v>41</v>
      </c>
      <c r="C102" s="44"/>
      <c r="D102" s="44"/>
      <c r="E102" s="44"/>
      <c r="F102" s="45" t="s">
        <v>20</v>
      </c>
      <c r="G102" s="46"/>
      <c r="H102" s="46"/>
      <c r="I102" s="47"/>
      <c r="J102" s="47"/>
      <c r="K102" s="47"/>
      <c r="L102" s="47"/>
      <c r="M102" s="47"/>
      <c r="N102" s="47"/>
      <c r="O102" s="47"/>
      <c r="P102" s="47"/>
      <c r="Q102" s="47"/>
      <c r="R102" s="47"/>
    </row>
    <row r="103" ht="21.6" customHeight="1" spans="1:18" x14ac:dyDescent="0.25">
      <c r="A103" s="25"/>
      <c r="B103" s="44" t="s">
        <v>42</v>
      </c>
      <c r="C103" s="44"/>
      <c r="D103" s="44"/>
      <c r="E103" s="44"/>
      <c r="F103" s="45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ht="21.6" customHeight="1" spans="1:18" x14ac:dyDescent="0.25">
      <c r="A104" s="25"/>
      <c r="B104" s="44" t="s">
        <v>22</v>
      </c>
      <c r="C104" s="44"/>
      <c r="D104" s="44"/>
      <c r="E104" s="44"/>
      <c r="F104" s="45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</row>
    <row r="105" ht="21.6" customHeight="1" spans="1:18" x14ac:dyDescent="0.25">
      <c r="A105" s="25"/>
      <c r="D105" s="3"/>
      <c r="E105" s="3"/>
      <c r="F105" s="45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</row>
    <row r="106" spans="4:16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4:16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4:16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4:16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4:16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4:16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6.5" customHeight="1" spans="4:16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21" customHeight="1" spans="2:16" x14ac:dyDescent="0.25">
      <c r="B113" s="4" t="s">
        <v>23</v>
      </c>
      <c r="C113" s="5" t="str">
        <f>C84</f>
        <v>Bedstone Poultry Ltd</v>
      </c>
      <c r="E113" s="6" t="s">
        <v>2</v>
      </c>
      <c r="F113" s="7"/>
      <c r="G113" s="7"/>
      <c r="H113" s="7"/>
      <c r="I113" s="7"/>
      <c r="J113" s="8"/>
      <c r="L113" s="3" t="s">
        <v>3</v>
      </c>
      <c r="M113" s="9">
        <v>5</v>
      </c>
      <c r="N113" s="9" t="s">
        <v>4</v>
      </c>
      <c r="O113" s="9">
        <v>9</v>
      </c>
      <c r="P113" s="3"/>
    </row>
    <row r="114" ht="21.75" customHeight="1" spans="2:16" x14ac:dyDescent="0.25">
      <c r="B114" s="10" t="s">
        <v>24</v>
      </c>
      <c r="C114" s="11">
        <f>C85</f>
        <v>3009</v>
      </c>
      <c r="D114" s="3"/>
      <c r="E114" s="12"/>
      <c r="F114" s="13"/>
      <c r="G114" s="13"/>
      <c r="H114" s="13"/>
      <c r="I114" s="13"/>
      <c r="J114" s="14"/>
      <c r="K114" s="15"/>
      <c r="L114" s="3"/>
      <c r="M114" s="3"/>
      <c r="N114" s="3"/>
      <c r="O114" s="3"/>
      <c r="P114" s="1"/>
    </row>
    <row r="115" ht="21.75" customHeight="1" spans="2:16" x14ac:dyDescent="0.25">
      <c r="B115" s="16" t="s">
        <v>25</v>
      </c>
      <c r="C115" s="17">
        <f>C86</f>
        <v>NaN</v>
      </c>
      <c r="D115" s="3"/>
      <c r="E115" s="1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6.5" customHeight="1" x14ac:dyDescent="0.25"/>
    <row r="117" spans="2:18" x14ac:dyDescent="0.25">
      <c r="B117" s="3"/>
      <c r="C117" s="26" t="s">
        <v>13</v>
      </c>
      <c r="D117" s="27">
        <v>1</v>
      </c>
      <c r="E117" s="27">
        <v>2</v>
      </c>
      <c r="F117" s="27">
        <v>3</v>
      </c>
      <c r="G117" s="27">
        <v>4</v>
      </c>
      <c r="H117" s="27">
        <v>5</v>
      </c>
      <c r="I117" s="27">
        <v>6</v>
      </c>
      <c r="J117" s="27">
        <v>7</v>
      </c>
      <c r="K117" s="27">
        <v>8</v>
      </c>
      <c r="L117" s="27">
        <v>9</v>
      </c>
      <c r="M117" s="27">
        <v>10</v>
      </c>
      <c r="N117" s="27">
        <v>11</v>
      </c>
      <c r="O117" s="27">
        <v>12</v>
      </c>
      <c r="P117" s="27">
        <v>13</v>
      </c>
      <c r="Q117" s="27">
        <v>14</v>
      </c>
      <c r="R117" s="28">
        <v>15</v>
      </c>
    </row>
    <row r="118" ht="16.5" customHeight="1" spans="2:18" x14ac:dyDescent="0.25">
      <c r="B118" s="3"/>
      <c r="C118" s="29" t="s">
        <v>14</v>
      </c>
      <c r="D118" s="9">
        <v>26</v>
      </c>
      <c r="E118" s="9">
        <v>26</v>
      </c>
      <c r="F118" s="9">
        <v>26</v>
      </c>
      <c r="G118" s="9">
        <v>26</v>
      </c>
      <c r="H118" s="9">
        <v>26</v>
      </c>
      <c r="I118" s="9">
        <v>26</v>
      </c>
      <c r="J118" s="9">
        <v>26</v>
      </c>
      <c r="K118" s="9">
        <v>26</v>
      </c>
      <c r="L118" s="9">
        <v>26</v>
      </c>
      <c r="M118" s="9">
        <v>26</v>
      </c>
      <c r="N118" s="9">
        <v>26</v>
      </c>
      <c r="O118" s="9">
        <v>26</v>
      </c>
      <c r="P118" s="9">
        <v>26</v>
      </c>
      <c r="Q118" s="9">
        <v>26</v>
      </c>
      <c r="R118" s="30">
        <v>26</v>
      </c>
    </row>
    <row r="119" ht="16.5" customHeight="1" spans="2:18" x14ac:dyDescent="0.25">
      <c r="B119" s="58" t="s">
        <v>43</v>
      </c>
      <c r="C119" s="38" t="s">
        <v>30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40"/>
    </row>
    <row r="120" ht="16.5" customHeight="1" spans="2:18" x14ac:dyDescent="0.25">
      <c r="B120" s="3"/>
      <c r="C120" s="2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25">
      <c r="B121" s="3"/>
      <c r="C121" s="4" t="s">
        <v>31</v>
      </c>
      <c r="D121" s="50">
        <f>D119/(VLOOKUP(D118,Standards!$A:$B,2,FALSE))</f>
        <v>0</v>
      </c>
      <c r="E121" s="50">
        <f>E119/(VLOOKUP(E118,Standards!$A:$B,2,FALSE))</f>
        <v>0</v>
      </c>
      <c r="F121" s="50">
        <f>F119/(VLOOKUP(F118,Standards!$A:$B,2,FALSE))</f>
        <v>0</v>
      </c>
      <c r="G121" s="50">
        <f>G119/(VLOOKUP(G118,Standards!$A:$B,2,FALSE))</f>
        <v>0</v>
      </c>
      <c r="H121" s="50">
        <f>H119/(VLOOKUP(H118,Standards!$A:$B,2,FALSE))</f>
        <v>0</v>
      </c>
      <c r="I121" s="50">
        <f>I119/(VLOOKUP(I118,Standards!$A:$B,2,FALSE))</f>
        <v>0</v>
      </c>
      <c r="J121" s="50">
        <f>J119/(VLOOKUP(J118,Standards!$A:$B,2,FALSE))</f>
        <v>0</v>
      </c>
      <c r="K121" s="50">
        <f>K119/(VLOOKUP(K118,Standards!$A:$B,2,FALSE))</f>
        <v>0</v>
      </c>
      <c r="L121" s="50">
        <f>L119/(VLOOKUP(L118,Standards!$A:$B,2,FALSE))</f>
        <v>0</v>
      </c>
      <c r="M121" s="50">
        <f>M119/(VLOOKUP(M118,Standards!$A:$B,2,FALSE))</f>
        <v>0</v>
      </c>
      <c r="N121" s="50">
        <f>N119/(VLOOKUP(N118,Standards!$A:$B,2,FALSE))</f>
        <v>0</v>
      </c>
      <c r="O121" s="50">
        <f>O119/(VLOOKUP(O118,Standards!$A:$B,2,FALSE))</f>
        <v>0</v>
      </c>
      <c r="P121" s="50">
        <f>P119/(VLOOKUP(P118,Standards!$A:$B,2,FALSE))</f>
        <v>0</v>
      </c>
      <c r="Q121" s="50">
        <f>Q119/(VLOOKUP(Q118,Standards!$A:$B,2,FALSE))</f>
        <v>0</v>
      </c>
      <c r="R121" s="52">
        <f>R119/(VLOOKUP(R118,Standards!$A:$B,2,FALSE))</f>
        <v>0</v>
      </c>
    </row>
    <row r="122" ht="16.5" customHeight="1" spans="2:18" x14ac:dyDescent="0.25">
      <c r="B122" s="3"/>
      <c r="C122" s="59" t="s">
        <v>40</v>
      </c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1"/>
    </row>
    <row r="123" spans="2:16" x14ac:dyDescent="0.25">
      <c r="B123" s="44"/>
      <c r="C123" s="18"/>
      <c r="D123" s="44"/>
      <c r="E123" s="3"/>
      <c r="F123" s="15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8" x14ac:dyDescent="0.25">
      <c r="B124" s="44" t="s">
        <v>44</v>
      </c>
      <c r="C124" s="44"/>
      <c r="D124" s="44"/>
      <c r="E124" s="44"/>
      <c r="F124" s="45" t="s">
        <v>20</v>
      </c>
      <c r="G124" s="46"/>
      <c r="H124" s="46"/>
      <c r="I124" s="47"/>
      <c r="J124" s="47"/>
      <c r="K124" s="47"/>
      <c r="L124" s="47"/>
      <c r="M124" s="47"/>
      <c r="N124" s="47"/>
      <c r="O124" s="47"/>
      <c r="P124" s="47"/>
      <c r="Q124" s="47"/>
      <c r="R124" s="47"/>
    </row>
    <row r="125" spans="2:18" x14ac:dyDescent="0.25">
      <c r="B125" s="44" t="s">
        <v>45</v>
      </c>
      <c r="C125" s="44"/>
      <c r="D125" s="44"/>
      <c r="E125" s="44"/>
      <c r="F125" s="45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 spans="2:18" x14ac:dyDescent="0.25">
      <c r="B126" s="44" t="s">
        <v>22</v>
      </c>
      <c r="C126" s="44"/>
      <c r="D126" s="44"/>
      <c r="E126" s="44"/>
      <c r="F126" s="45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</row>
    <row r="127" spans="4:18" x14ac:dyDescent="0.25">
      <c r="D127" s="3"/>
      <c r="E127" s="3"/>
      <c r="F127" s="45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4:16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4:16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4:16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4" ht="16.5" customHeight="1" x14ac:dyDescent="0.25"/>
    <row r="135" ht="21.6" customHeight="1" spans="1:16" x14ac:dyDescent="0.25">
      <c r="A135" s="3"/>
      <c r="B135" s="4" t="s">
        <v>23</v>
      </c>
      <c r="C135" s="5" t="str">
        <f>C84</f>
        <v>Bedstone Poultry Ltd</v>
      </c>
      <c r="E135" s="6" t="s">
        <v>2</v>
      </c>
      <c r="F135" s="7"/>
      <c r="G135" s="7"/>
      <c r="H135" s="7"/>
      <c r="I135" s="7"/>
      <c r="J135" s="8"/>
      <c r="L135" s="3" t="s">
        <v>3</v>
      </c>
      <c r="M135" s="9">
        <v>6</v>
      </c>
      <c r="N135" s="9" t="s">
        <v>4</v>
      </c>
      <c r="O135" s="9">
        <v>9</v>
      </c>
      <c r="P135" s="3"/>
    </row>
    <row r="136" ht="21.6" customHeight="1" spans="1:16" x14ac:dyDescent="0.25">
      <c r="A136" s="3"/>
      <c r="B136" s="10" t="s">
        <v>24</v>
      </c>
      <c r="C136" s="11">
        <f>C85</f>
        <v>3009</v>
      </c>
      <c r="D136" s="3"/>
      <c r="E136" s="12"/>
      <c r="F136" s="13"/>
      <c r="G136" s="13"/>
      <c r="H136" s="13"/>
      <c r="I136" s="13"/>
      <c r="J136" s="14"/>
      <c r="K136" s="15"/>
      <c r="L136" s="3"/>
      <c r="M136" s="3"/>
      <c r="N136" s="3"/>
      <c r="O136" s="3"/>
      <c r="P136" s="1"/>
    </row>
    <row r="137" ht="21.6" customHeight="1" spans="1:16" x14ac:dyDescent="0.25">
      <c r="A137" s="3"/>
      <c r="B137" s="16" t="s">
        <v>25</v>
      </c>
      <c r="C137" s="17">
        <f>C86</f>
        <v>NaN</v>
      </c>
      <c r="D137" s="3"/>
      <c r="E137" s="1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9" customHeight="1" x14ac:dyDescent="0.25"/>
    <row r="139" ht="21.6" customHeight="1" spans="1:18" x14ac:dyDescent="0.25">
      <c r="A139" s="3"/>
      <c r="B139" s="3"/>
      <c r="C139" s="19" t="s">
        <v>9</v>
      </c>
      <c r="D139" s="20">
        <f>'Placement Information'!$C$15</f>
        <v>0</v>
      </c>
      <c r="E139" s="20">
        <f>'Placement Information'!$I$15</f>
        <v>0</v>
      </c>
      <c r="F139" s="20">
        <f>'Placement Information'!$O$15</f>
        <v>0</v>
      </c>
      <c r="G139" s="20">
        <f>'Placement Information'!$U$15</f>
        <v>0</v>
      </c>
      <c r="H139" s="20">
        <f>'Placement Information'!$C$28</f>
        <v>0</v>
      </c>
      <c r="I139" s="20">
        <f>'Placement Information'!$I$28</f>
        <v>0</v>
      </c>
      <c r="J139" s="20">
        <f>'Placement Information'!$O$28</f>
        <v>0</v>
      </c>
      <c r="K139" s="20">
        <f>'Placement Information'!$U$28</f>
        <v>0</v>
      </c>
      <c r="L139" s="20">
        <f>'Placement Information'!$C$41</f>
        <v>0</v>
      </c>
      <c r="M139" s="20">
        <f>'Placement Information'!$I$41</f>
        <v>0</v>
      </c>
      <c r="N139" s="20">
        <f>'Placement Information'!$O$41</f>
        <v>0</v>
      </c>
      <c r="O139" s="20">
        <f>'Placement Information'!$U$41</f>
        <v>0</v>
      </c>
      <c r="P139" s="20">
        <f>'Placement Information'!$C$54</f>
        <v>0</v>
      </c>
      <c r="Q139" s="20">
        <f>'Placement Information'!$I$54</f>
        <v>0</v>
      </c>
      <c r="R139" s="21">
        <f>'Placement Information'!$O$54</f>
        <v>0</v>
      </c>
    </row>
    <row r="140" ht="21.6" customHeight="1" spans="1:18" x14ac:dyDescent="0.25">
      <c r="A140" s="3"/>
      <c r="B140" s="3"/>
      <c r="C140" s="22" t="s">
        <v>11</v>
      </c>
      <c r="D140" s="23" t="str">
        <f>'Placement Information'!$D$6</f>
        <v>Ross 308</v>
      </c>
      <c r="E140" s="23" t="str">
        <f>'Placement Information'!$J$6</f>
        <v>Ross 308</v>
      </c>
      <c r="F140" s="23" t="str">
        <f>'Placement Information'!$P$6</f>
        <v>Ross 308</v>
      </c>
      <c r="G140" s="23" t="str">
        <f>'Placement Information'!$V$6</f>
        <v>Ross 308</v>
      </c>
      <c r="H140" s="23" t="str">
        <f>'Placement Information'!$D$19</f>
        <v>Ross 308</v>
      </c>
      <c r="I140" s="23" t="str">
        <f>'Placement Information'!$J$19</f>
        <v>Ross 308</v>
      </c>
      <c r="J140" s="23" t="str">
        <f>'Placement Information'!$P$19</f>
        <v>Ross 308</v>
      </c>
      <c r="K140" s="23" t="str">
        <f>'Placement Information'!$V$19</f>
        <v>Ross 308</v>
      </c>
      <c r="L140" s="23">
        <f>'Placement Information'!$D$32</f>
        <v>0</v>
      </c>
      <c r="M140" s="23">
        <f>'Placement Information'!$J$32</f>
        <v>0</v>
      </c>
      <c r="N140" s="23">
        <f>'Placement Information'!$P$32</f>
        <v>0</v>
      </c>
      <c r="O140" s="23">
        <f>'Placement Information'!$V$32</f>
        <v>0</v>
      </c>
      <c r="P140" s="23">
        <f>'Placement Information'!$D$45</f>
        <v>0</v>
      </c>
      <c r="Q140" s="23">
        <f>'Placement Information'!$J$45</f>
        <v>0</v>
      </c>
      <c r="R140" s="24">
        <f>'Placement Information'!$P$45</f>
        <v>0</v>
      </c>
    </row>
    <row r="141" ht="9" customHeight="1" spans="1:18" x14ac:dyDescent="0.25">
      <c r="A141" s="25"/>
      <c r="B141" s="3"/>
      <c r="C141" s="2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21.6" customHeight="1" spans="1:18" x14ac:dyDescent="0.25">
      <c r="A142" s="25"/>
      <c r="B142" s="3"/>
      <c r="C142" s="26" t="s">
        <v>13</v>
      </c>
      <c r="D142" s="27">
        <v>1</v>
      </c>
      <c r="E142" s="27">
        <v>2</v>
      </c>
      <c r="F142" s="27">
        <v>3</v>
      </c>
      <c r="G142" s="27">
        <v>4</v>
      </c>
      <c r="H142" s="27">
        <v>5</v>
      </c>
      <c r="I142" s="27">
        <v>6</v>
      </c>
      <c r="J142" s="27">
        <v>7</v>
      </c>
      <c r="K142" s="27">
        <v>8</v>
      </c>
      <c r="L142" s="27">
        <v>9</v>
      </c>
      <c r="M142" s="27">
        <v>10</v>
      </c>
      <c r="N142" s="27">
        <v>11</v>
      </c>
      <c r="O142" s="27">
        <v>12</v>
      </c>
      <c r="P142" s="27">
        <v>13</v>
      </c>
      <c r="Q142" s="27">
        <v>14</v>
      </c>
      <c r="R142" s="28">
        <v>15</v>
      </c>
    </row>
    <row r="143" ht="21.6" customHeight="1" spans="1:18" x14ac:dyDescent="0.25">
      <c r="A143" s="25"/>
      <c r="B143" s="3"/>
      <c r="C143" s="29" t="s">
        <v>14</v>
      </c>
      <c r="D143" s="9">
        <v>28</v>
      </c>
      <c r="E143" s="9">
        <v>28</v>
      </c>
      <c r="F143" s="9">
        <v>28</v>
      </c>
      <c r="G143" s="9">
        <v>28</v>
      </c>
      <c r="H143" s="9">
        <v>28</v>
      </c>
      <c r="I143" s="9">
        <v>28</v>
      </c>
      <c r="J143" s="9">
        <v>28</v>
      </c>
      <c r="K143" s="9">
        <v>28</v>
      </c>
      <c r="L143" s="9">
        <v>28</v>
      </c>
      <c r="M143" s="9">
        <v>28</v>
      </c>
      <c r="N143" s="9">
        <v>28</v>
      </c>
      <c r="O143" s="9">
        <v>28</v>
      </c>
      <c r="P143" s="9">
        <v>28</v>
      </c>
      <c r="Q143" s="9">
        <v>28</v>
      </c>
      <c r="R143" s="30">
        <v>28</v>
      </c>
    </row>
    <row r="144" ht="21.6" customHeight="1" spans="1:18" x14ac:dyDescent="0.25">
      <c r="A144" s="25"/>
      <c r="B144" s="31" t="s">
        <v>46</v>
      </c>
      <c r="C144" s="29" t="s">
        <v>16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3"/>
    </row>
    <row r="145" ht="21.6" customHeight="1" spans="1:18" x14ac:dyDescent="0.25">
      <c r="A145" s="25"/>
      <c r="B145" s="34" t="s">
        <v>46</v>
      </c>
      <c r="C145" s="29" t="s">
        <v>27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6"/>
    </row>
    <row r="146" ht="21.6" customHeight="1" spans="1:18" x14ac:dyDescent="0.25">
      <c r="A146" s="25"/>
      <c r="B146" s="34" t="s">
        <v>46</v>
      </c>
      <c r="C146" s="29" t="s">
        <v>28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6"/>
    </row>
    <row r="147" ht="21.6" customHeight="1" spans="1:18" x14ac:dyDescent="0.25">
      <c r="A147" s="25"/>
      <c r="B147" s="37" t="s">
        <v>47</v>
      </c>
      <c r="C147" s="38" t="s">
        <v>30</v>
      </c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40"/>
    </row>
    <row r="148" ht="9" customHeight="1" spans="1:18" x14ac:dyDescent="0.25">
      <c r="A148" s="25"/>
      <c r="B148" s="3"/>
      <c r="C148" s="2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21.6" customHeight="1" spans="1:18" x14ac:dyDescent="0.25">
      <c r="A149" s="25"/>
      <c r="B149" s="3"/>
      <c r="C149" s="4" t="s">
        <v>31</v>
      </c>
      <c r="D149" s="50">
        <f>D147/(VLOOKUP(D143,Standards!$A:$B,2,FALSE))</f>
        <v>0</v>
      </c>
      <c r="E149" s="50">
        <f>E147/(VLOOKUP(E143,Standards!$A:$B,2,FALSE))</f>
        <v>0</v>
      </c>
      <c r="F149" s="50">
        <f>F147/(VLOOKUP(F143,Standards!$A:$B,2,FALSE))</f>
        <v>0</v>
      </c>
      <c r="G149" s="50">
        <f>G147/(VLOOKUP(G143,Standards!$A:$B,2,FALSE))</f>
        <v>0</v>
      </c>
      <c r="H149" s="50">
        <f>H147/(VLOOKUP(H143,Standards!$A:$B,2,FALSE))</f>
        <v>0</v>
      </c>
      <c r="I149" s="50">
        <f>I147/(VLOOKUP(I143,Standards!$A:$B,2,FALSE))</f>
        <v>0</v>
      </c>
      <c r="J149" s="50">
        <f>J147/(VLOOKUP(J143,Standards!$A:$B,2,FALSE))</f>
        <v>0</v>
      </c>
      <c r="K149" s="50">
        <f>K147/(VLOOKUP(K143,Standards!$A:$B,2,FALSE))</f>
        <v>0</v>
      </c>
      <c r="L149" s="50">
        <f>L147/(VLOOKUP(L143,Standards!$A:$B,2,FALSE))</f>
        <v>0</v>
      </c>
      <c r="M149" s="50">
        <f>M147/(VLOOKUP(M143,Standards!$A:$B,2,FALSE))</f>
        <v>0</v>
      </c>
      <c r="N149" s="50">
        <f>N147/(VLOOKUP(N143,Standards!$A:$B,2,FALSE))</f>
        <v>0</v>
      </c>
      <c r="O149" s="50">
        <f>O147/(VLOOKUP(O143,Standards!$A:$B,2,FALSE))</f>
        <v>0</v>
      </c>
      <c r="P149" s="50">
        <f>P147/(VLOOKUP(P143,Standards!$A:$B,2,FALSE))</f>
        <v>0</v>
      </c>
      <c r="Q149" s="50">
        <f>Q147/(VLOOKUP(Q143,Standards!$A:$B,2,FALSE))</f>
        <v>0</v>
      </c>
      <c r="R149" s="52">
        <f>R147/(VLOOKUP(R143,Standards!$A:$B,2,FALSE))</f>
        <v>0</v>
      </c>
    </row>
    <row r="150" ht="21.6" customHeight="1" spans="1:18" x14ac:dyDescent="0.25">
      <c r="A150" s="25"/>
      <c r="B150" s="3"/>
      <c r="C150" s="55" t="s">
        <v>40</v>
      </c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7"/>
    </row>
    <row r="151" ht="21.6" customHeight="1" spans="1:18" x14ac:dyDescent="0.25">
      <c r="A151" s="25"/>
      <c r="B151" s="3"/>
      <c r="C151" s="16" t="s">
        <v>19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3">
        <f>SUM(D151:K151)/8</f>
        <v>0</v>
      </c>
    </row>
    <row r="152" ht="9" customHeight="1" spans="1:16" x14ac:dyDescent="0.25">
      <c r="A152" s="18"/>
      <c r="B152" s="44"/>
      <c r="C152" s="18"/>
      <c r="D152" s="44"/>
      <c r="E152" s="3"/>
      <c r="F152" s="15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21.6" customHeight="1" spans="1:18" x14ac:dyDescent="0.25">
      <c r="A153" s="25"/>
      <c r="B153" s="44" t="s">
        <v>48</v>
      </c>
      <c r="C153" s="44"/>
      <c r="D153" s="44"/>
      <c r="E153" s="44"/>
      <c r="F153" s="45" t="s">
        <v>20</v>
      </c>
      <c r="G153" s="46"/>
      <c r="H153" s="46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 ht="21.6" customHeight="1" spans="1:18" x14ac:dyDescent="0.25">
      <c r="A154" s="25"/>
      <c r="B154" s="44" t="s">
        <v>49</v>
      </c>
      <c r="C154" s="44"/>
      <c r="D154" s="44"/>
      <c r="E154" s="44"/>
      <c r="F154" s="45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 ht="21.6" customHeight="1" spans="1:18" x14ac:dyDescent="0.25">
      <c r="A155" s="25"/>
      <c r="B155" s="44" t="s">
        <v>22</v>
      </c>
      <c r="C155" s="44"/>
      <c r="D155" s="44"/>
      <c r="E155" s="44"/>
      <c r="F155" s="45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ht="21.6" customHeight="1" spans="1:18" x14ac:dyDescent="0.25">
      <c r="A156" s="25"/>
      <c r="D156" s="3"/>
      <c r="E156" s="3"/>
      <c r="F156" s="45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 spans="4:16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4:16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4:16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3" ht="16.5" customHeight="1" spans="1:16" x14ac:dyDescent="0.25">
      <c r="A163" s="25"/>
      <c r="D163" s="3"/>
      <c r="E163" s="3"/>
      <c r="F163" s="53"/>
      <c r="G163" s="3"/>
      <c r="H163" s="3"/>
      <c r="I163" s="54"/>
      <c r="J163" s="54"/>
      <c r="K163" s="54"/>
      <c r="L163" s="54"/>
      <c r="M163" s="54"/>
      <c r="N163" s="54"/>
      <c r="O163" s="54"/>
      <c r="P163" s="54"/>
    </row>
    <row r="164" ht="21.6" customHeight="1" spans="1:16" x14ac:dyDescent="0.25">
      <c r="A164" s="3"/>
      <c r="B164" s="4" t="s">
        <v>23</v>
      </c>
      <c r="C164" s="5" t="str">
        <f>C135</f>
        <v>Bedstone Poultry Ltd</v>
      </c>
      <c r="E164" s="6" t="s">
        <v>2</v>
      </c>
      <c r="F164" s="7"/>
      <c r="G164" s="7"/>
      <c r="H164" s="7"/>
      <c r="I164" s="7"/>
      <c r="J164" s="8"/>
      <c r="L164" s="3" t="s">
        <v>3</v>
      </c>
      <c r="M164" s="9">
        <v>7</v>
      </c>
      <c r="N164" s="9" t="s">
        <v>4</v>
      </c>
      <c r="O164" s="9">
        <v>9</v>
      </c>
      <c r="P164" s="3"/>
    </row>
    <row r="165" ht="21.6" customHeight="1" spans="1:16" x14ac:dyDescent="0.25">
      <c r="A165" s="3"/>
      <c r="B165" s="10" t="s">
        <v>24</v>
      </c>
      <c r="C165" s="11">
        <f>C136</f>
        <v>3009</v>
      </c>
      <c r="D165" s="3"/>
      <c r="E165" s="12"/>
      <c r="F165" s="13"/>
      <c r="G165" s="13"/>
      <c r="H165" s="13"/>
      <c r="I165" s="13"/>
      <c r="J165" s="14"/>
      <c r="K165" s="15"/>
      <c r="L165" s="3"/>
      <c r="M165" s="3"/>
      <c r="N165" s="3"/>
      <c r="O165" s="3"/>
      <c r="P165" s="1"/>
    </row>
    <row r="166" ht="21.6" customHeight="1" spans="1:16" x14ac:dyDescent="0.25">
      <c r="A166" s="3"/>
      <c r="B166" s="16" t="s">
        <v>25</v>
      </c>
      <c r="C166" s="17">
        <f>C137</f>
        <v>NaN</v>
      </c>
      <c r="D166" s="3"/>
      <c r="E166" s="1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9" customHeight="1" x14ac:dyDescent="0.25"/>
    <row r="168" ht="21.6" customHeight="1" spans="1:18" x14ac:dyDescent="0.25">
      <c r="A168" s="3"/>
      <c r="B168" s="3"/>
      <c r="C168" s="19" t="s">
        <v>9</v>
      </c>
      <c r="D168" s="20">
        <f>'Placement Information'!$C$15</f>
        <v>0</v>
      </c>
      <c r="E168" s="20">
        <f>'Placement Information'!$I$15</f>
        <v>0</v>
      </c>
      <c r="F168" s="20">
        <f>'Placement Information'!$O$15</f>
        <v>0</v>
      </c>
      <c r="G168" s="20">
        <f>'Placement Information'!$U$15</f>
        <v>0</v>
      </c>
      <c r="H168" s="20">
        <f>'Placement Information'!$C$28</f>
        <v>0</v>
      </c>
      <c r="I168" s="20">
        <f>'Placement Information'!$I$28</f>
        <v>0</v>
      </c>
      <c r="J168" s="20">
        <f>'Placement Information'!$O$28</f>
        <v>0</v>
      </c>
      <c r="K168" s="20">
        <f>'Placement Information'!$U$28</f>
        <v>0</v>
      </c>
      <c r="L168" s="20">
        <f>'Placement Information'!$C$41</f>
        <v>0</v>
      </c>
      <c r="M168" s="20">
        <f>'Placement Information'!$I$41</f>
        <v>0</v>
      </c>
      <c r="N168" s="20">
        <f>'Placement Information'!$O$41</f>
        <v>0</v>
      </c>
      <c r="O168" s="20">
        <f>'Placement Information'!$U$41</f>
        <v>0</v>
      </c>
      <c r="P168" s="20">
        <f>'Placement Information'!$C$54</f>
        <v>0</v>
      </c>
      <c r="Q168" s="20">
        <f>'Placement Information'!$I$54</f>
        <v>0</v>
      </c>
      <c r="R168" s="21">
        <f>'Placement Information'!$O$54</f>
        <v>0</v>
      </c>
    </row>
    <row r="169" ht="21.6" customHeight="1" spans="1:18" x14ac:dyDescent="0.25">
      <c r="A169" s="3"/>
      <c r="B169" s="3"/>
      <c r="C169" s="22" t="s">
        <v>11</v>
      </c>
      <c r="D169" s="23" t="str">
        <f>'Placement Information'!$D$6</f>
        <v>Ross 308</v>
      </c>
      <c r="E169" s="23" t="str">
        <f>'Placement Information'!$J$6</f>
        <v>Ross 308</v>
      </c>
      <c r="F169" s="23" t="str">
        <f>'Placement Information'!$P$6</f>
        <v>Ross 308</v>
      </c>
      <c r="G169" s="23" t="str">
        <f>'Placement Information'!$V$6</f>
        <v>Ross 308</v>
      </c>
      <c r="H169" s="23" t="str">
        <f>'Placement Information'!$D$19</f>
        <v>Ross 308</v>
      </c>
      <c r="I169" s="23" t="str">
        <f>'Placement Information'!$J$19</f>
        <v>Ross 308</v>
      </c>
      <c r="J169" s="23" t="str">
        <f>'Placement Information'!$P$19</f>
        <v>Ross 308</v>
      </c>
      <c r="K169" s="23" t="str">
        <f>'Placement Information'!$V$19</f>
        <v>Ross 308</v>
      </c>
      <c r="L169" s="23">
        <f>'Placement Information'!$D$32</f>
        <v>0</v>
      </c>
      <c r="M169" s="23">
        <f>'Placement Information'!$J$32</f>
        <v>0</v>
      </c>
      <c r="N169" s="23">
        <f>'Placement Information'!$P$32</f>
        <v>0</v>
      </c>
      <c r="O169" s="23">
        <f>'Placement Information'!$V$32</f>
        <v>0</v>
      </c>
      <c r="P169" s="23">
        <f>'Placement Information'!$D$45</f>
        <v>0</v>
      </c>
      <c r="Q169" s="23">
        <f>'Placement Information'!$J$45</f>
        <v>0</v>
      </c>
      <c r="R169" s="24">
        <f>'Placement Information'!$P$45</f>
        <v>0</v>
      </c>
    </row>
    <row r="170" ht="9" customHeight="1" spans="1:18" x14ac:dyDescent="0.25">
      <c r="A170" s="25"/>
      <c r="B170" s="3"/>
      <c r="C170" s="2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21.6" customHeight="1" spans="1:18" x14ac:dyDescent="0.25">
      <c r="A171" s="25"/>
      <c r="B171" s="3"/>
      <c r="C171" s="26" t="s">
        <v>13</v>
      </c>
      <c r="D171" s="27">
        <v>1</v>
      </c>
      <c r="E171" s="27">
        <v>2</v>
      </c>
      <c r="F171" s="27">
        <v>3</v>
      </c>
      <c r="G171" s="27">
        <v>4</v>
      </c>
      <c r="H171" s="27">
        <v>5</v>
      </c>
      <c r="I171" s="27">
        <v>6</v>
      </c>
      <c r="J171" s="27">
        <v>7</v>
      </c>
      <c r="K171" s="27">
        <v>8</v>
      </c>
      <c r="L171" s="27">
        <v>9</v>
      </c>
      <c r="M171" s="27">
        <v>10</v>
      </c>
      <c r="N171" s="27">
        <v>11</v>
      </c>
      <c r="O171" s="27">
        <v>12</v>
      </c>
      <c r="P171" s="27">
        <v>13</v>
      </c>
      <c r="Q171" s="27">
        <v>14</v>
      </c>
      <c r="R171" s="28">
        <v>15</v>
      </c>
    </row>
    <row r="172" ht="21.6" customHeight="1" spans="1:18" x14ac:dyDescent="0.25">
      <c r="A172" s="25"/>
      <c r="B172" s="3"/>
      <c r="C172" s="29" t="s">
        <v>14</v>
      </c>
      <c r="D172" s="9" t="s">
        <v>50</v>
      </c>
      <c r="E172" s="9" t="s">
        <v>50</v>
      </c>
      <c r="F172" s="9" t="s">
        <v>50</v>
      </c>
      <c r="G172" s="9" t="s">
        <v>50</v>
      </c>
      <c r="H172" s="9" t="s">
        <v>50</v>
      </c>
      <c r="I172" s="9" t="s">
        <v>50</v>
      </c>
      <c r="J172" s="9" t="s">
        <v>50</v>
      </c>
      <c r="K172" s="9" t="s">
        <v>50</v>
      </c>
      <c r="L172" s="9" t="s">
        <v>50</v>
      </c>
      <c r="M172" s="9" t="s">
        <v>50</v>
      </c>
      <c r="N172" s="9" t="s">
        <v>50</v>
      </c>
      <c r="O172" s="9" t="s">
        <v>50</v>
      </c>
      <c r="P172" s="9" t="s">
        <v>50</v>
      </c>
      <c r="Q172" s="9" t="s">
        <v>50</v>
      </c>
      <c r="R172" s="30" t="s">
        <v>50</v>
      </c>
    </row>
    <row r="173" ht="21.6" customHeight="1" spans="1:18" x14ac:dyDescent="0.25">
      <c r="A173" s="25"/>
      <c r="B173" s="31" t="s">
        <v>51</v>
      </c>
      <c r="C173" s="29" t="s">
        <v>16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3"/>
    </row>
    <row r="174" ht="21.6" customHeight="1" spans="1:18" x14ac:dyDescent="0.25">
      <c r="A174" s="25"/>
      <c r="B174" s="34" t="s">
        <v>51</v>
      </c>
      <c r="C174" s="29" t="s">
        <v>27</v>
      </c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6"/>
    </row>
    <row r="175" ht="21.6" customHeight="1" spans="1:18" x14ac:dyDescent="0.25">
      <c r="A175" s="25"/>
      <c r="B175" s="37" t="s">
        <v>51</v>
      </c>
      <c r="C175" s="38" t="s">
        <v>28</v>
      </c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40"/>
    </row>
    <row r="176" ht="9" customHeight="1" spans="1:18" x14ac:dyDescent="0.25">
      <c r="A176" s="25"/>
      <c r="B176" s="3"/>
      <c r="C176" s="2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21.6" customHeight="1" spans="1:18" x14ac:dyDescent="0.25">
      <c r="A177" s="25"/>
      <c r="B177" s="3"/>
      <c r="C177" s="62" t="s">
        <v>19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4">
        <f>SUM(D177:K177)/8</f>
        <v>0</v>
      </c>
    </row>
    <row r="178" ht="9" customHeight="1" spans="1:16" x14ac:dyDescent="0.25">
      <c r="A178" s="18"/>
      <c r="B178" s="44"/>
      <c r="C178" s="18"/>
      <c r="D178" s="44"/>
      <c r="E178" s="3"/>
      <c r="F178" s="15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21.6" customHeight="1" spans="1:18" x14ac:dyDescent="0.25">
      <c r="A179" s="25"/>
      <c r="B179" s="44"/>
      <c r="C179" s="44"/>
      <c r="D179" s="44"/>
      <c r="E179" s="44"/>
      <c r="F179" s="45" t="s">
        <v>20</v>
      </c>
      <c r="G179" s="46"/>
      <c r="H179" s="46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ht="21.6" customHeight="1" spans="1:18" x14ac:dyDescent="0.25">
      <c r="A180" s="25"/>
      <c r="B180" s="44" t="s">
        <v>52</v>
      </c>
      <c r="C180" s="44"/>
      <c r="D180" s="44"/>
      <c r="E180" s="44"/>
      <c r="F180" s="45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</row>
    <row r="181" ht="21.6" customHeight="1" spans="1:18" x14ac:dyDescent="0.25">
      <c r="A181" s="25"/>
      <c r="B181" s="44" t="s">
        <v>22</v>
      </c>
      <c r="C181" s="44"/>
      <c r="D181" s="44"/>
      <c r="E181" s="44"/>
      <c r="F181" s="45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</row>
    <row r="182" ht="21.6" customHeight="1" spans="1:18" x14ac:dyDescent="0.25">
      <c r="A182" s="25"/>
      <c r="D182" s="3"/>
      <c r="E182" s="3"/>
      <c r="F182" s="45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</row>
    <row r="183" ht="16.15" customHeight="1" spans="1:18" x14ac:dyDescent="0.25">
      <c r="A183" s="25"/>
      <c r="D183" s="3"/>
      <c r="E183" s="3"/>
      <c r="F183" s="53"/>
      <c r="G183" s="3"/>
      <c r="H183" s="3"/>
      <c r="I183" s="54"/>
      <c r="J183" s="54"/>
      <c r="K183" s="54"/>
      <c r="L183" s="54"/>
      <c r="M183" s="54"/>
      <c r="N183" s="54"/>
      <c r="O183" s="54"/>
      <c r="P183" s="54"/>
      <c r="Q183" s="54"/>
      <c r="R183" s="54"/>
    </row>
    <row r="184" ht="16.15" customHeight="1" spans="1:18" x14ac:dyDescent="0.25">
      <c r="A184" s="25"/>
      <c r="D184" s="3"/>
      <c r="E184" s="3"/>
      <c r="F184" s="53"/>
      <c r="G184" s="3"/>
      <c r="H184" s="3"/>
      <c r="I184" s="54"/>
      <c r="J184" s="54"/>
      <c r="K184" s="54"/>
      <c r="L184" s="54"/>
      <c r="M184" s="54"/>
      <c r="N184" s="54"/>
      <c r="O184" s="54"/>
      <c r="P184" s="54"/>
      <c r="Q184" s="54"/>
      <c r="R184" s="54"/>
    </row>
    <row r="185" ht="16.15" customHeight="1" spans="1:18" x14ac:dyDescent="0.25">
      <c r="A185" s="25"/>
      <c r="D185" s="3"/>
      <c r="E185" s="3"/>
      <c r="F185" s="53"/>
      <c r="G185" s="3"/>
      <c r="H185" s="3"/>
      <c r="I185" s="54"/>
      <c r="J185" s="54"/>
      <c r="K185" s="54"/>
      <c r="L185" s="54"/>
      <c r="M185" s="54"/>
      <c r="N185" s="54"/>
      <c r="O185" s="54"/>
      <c r="P185" s="54"/>
      <c r="Q185" s="54"/>
      <c r="R185" s="54"/>
    </row>
    <row r="186" ht="16.15" customHeight="1" spans="1:18" x14ac:dyDescent="0.25">
      <c r="A186" s="25"/>
      <c r="D186" s="3"/>
      <c r="E186" s="3"/>
      <c r="F186" s="53"/>
      <c r="G186" s="3"/>
      <c r="H186" s="3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ht="16.15" customHeight="1" spans="4:16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6.15" customHeight="1" spans="4:16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6.15" customHeight="1" x14ac:dyDescent="0.25"/>
    <row r="190" ht="21.6" customHeight="1" spans="1:16" x14ac:dyDescent="0.25">
      <c r="A190" s="3"/>
      <c r="B190" s="4" t="s">
        <v>23</v>
      </c>
      <c r="C190" s="5" t="str">
        <f>C164</f>
        <v>Bedstone Poultry Ltd</v>
      </c>
      <c r="E190" s="6" t="s">
        <v>2</v>
      </c>
      <c r="F190" s="7"/>
      <c r="G190" s="7"/>
      <c r="H190" s="7"/>
      <c r="I190" s="7"/>
      <c r="J190" s="8"/>
      <c r="L190" s="3" t="s">
        <v>3</v>
      </c>
      <c r="M190" s="9">
        <v>8</v>
      </c>
      <c r="N190" s="9" t="s">
        <v>4</v>
      </c>
      <c r="O190" s="9">
        <v>9</v>
      </c>
      <c r="P190" s="3"/>
    </row>
    <row r="191" ht="21.6" customHeight="1" spans="1:16" x14ac:dyDescent="0.25">
      <c r="A191" s="3"/>
      <c r="B191" s="10" t="s">
        <v>24</v>
      </c>
      <c r="C191" s="11">
        <f>C165</f>
        <v>3009</v>
      </c>
      <c r="D191" s="3"/>
      <c r="E191" s="12"/>
      <c r="F191" s="13"/>
      <c r="G191" s="13"/>
      <c r="H191" s="13"/>
      <c r="I191" s="13"/>
      <c r="J191" s="14"/>
      <c r="K191" s="15"/>
      <c r="L191" s="3"/>
      <c r="M191" s="3"/>
      <c r="N191" s="3"/>
      <c r="O191" s="3"/>
      <c r="P191" s="1"/>
    </row>
    <row r="192" ht="21.6" customHeight="1" spans="1:16" x14ac:dyDescent="0.25">
      <c r="A192" s="3"/>
      <c r="B192" s="16" t="s">
        <v>25</v>
      </c>
      <c r="C192" s="17">
        <f>C166</f>
        <v>NaN</v>
      </c>
      <c r="D192" s="3"/>
      <c r="E192" s="1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9" customHeight="1" x14ac:dyDescent="0.25"/>
    <row r="194" ht="21.6" customHeight="1" spans="1:18" x14ac:dyDescent="0.25">
      <c r="A194" s="3"/>
      <c r="B194" s="3"/>
      <c r="C194" s="19" t="s">
        <v>9</v>
      </c>
      <c r="D194" s="20">
        <f>'Placement Information'!$C$15</f>
        <v>0</v>
      </c>
      <c r="E194" s="20">
        <f>'Placement Information'!$I$15</f>
        <v>0</v>
      </c>
      <c r="F194" s="20">
        <f>'Placement Information'!$O$15</f>
        <v>0</v>
      </c>
      <c r="G194" s="20">
        <f>'Placement Information'!$U$15</f>
        <v>0</v>
      </c>
      <c r="H194" s="20">
        <f>'Placement Information'!$C$28</f>
        <v>0</v>
      </c>
      <c r="I194" s="20">
        <f>'Placement Information'!$I$28</f>
        <v>0</v>
      </c>
      <c r="J194" s="20">
        <f>'Placement Information'!$O$28</f>
        <v>0</v>
      </c>
      <c r="K194" s="20">
        <f>'Placement Information'!$U$28</f>
        <v>0</v>
      </c>
      <c r="L194" s="20">
        <f>'Placement Information'!$C$41</f>
        <v>0</v>
      </c>
      <c r="M194" s="20">
        <f>'Placement Information'!$I$41</f>
        <v>0</v>
      </c>
      <c r="N194" s="20">
        <f>'Placement Information'!$O$41</f>
        <v>0</v>
      </c>
      <c r="O194" s="20">
        <f>'Placement Information'!$U$41</f>
        <v>0</v>
      </c>
      <c r="P194" s="20">
        <f>'Placement Information'!$C$54</f>
        <v>0</v>
      </c>
      <c r="Q194" s="20">
        <f>'Placement Information'!$I$54</f>
        <v>0</v>
      </c>
      <c r="R194" s="21">
        <f>'Placement Information'!$O$54</f>
        <v>0</v>
      </c>
    </row>
    <row r="195" ht="21.6" customHeight="1" spans="1:18" x14ac:dyDescent="0.25">
      <c r="A195" s="3"/>
      <c r="B195" s="3"/>
      <c r="C195" s="22" t="s">
        <v>11</v>
      </c>
      <c r="D195" s="23" t="str">
        <f>'Placement Information'!$D$6</f>
        <v>Ross 308</v>
      </c>
      <c r="E195" s="23" t="str">
        <f>'Placement Information'!$J$6</f>
        <v>Ross 308</v>
      </c>
      <c r="F195" s="23" t="str">
        <f>'Placement Information'!$P$6</f>
        <v>Ross 308</v>
      </c>
      <c r="G195" s="23" t="str">
        <f>'Placement Information'!$V$6</f>
        <v>Ross 308</v>
      </c>
      <c r="H195" s="23" t="str">
        <f>'Placement Information'!$D$19</f>
        <v>Ross 308</v>
      </c>
      <c r="I195" s="23" t="str">
        <f>'Placement Information'!$J$19</f>
        <v>Ross 308</v>
      </c>
      <c r="J195" s="23" t="str">
        <f>'Placement Information'!$P$19</f>
        <v>Ross 308</v>
      </c>
      <c r="K195" s="23" t="str">
        <f>'Placement Information'!$V$19</f>
        <v>Ross 308</v>
      </c>
      <c r="L195" s="23">
        <f>'Placement Information'!$D$32</f>
        <v>0</v>
      </c>
      <c r="M195" s="23">
        <f>'Placement Information'!$J$32</f>
        <v>0</v>
      </c>
      <c r="N195" s="23">
        <f>'Placement Information'!$P$32</f>
        <v>0</v>
      </c>
      <c r="O195" s="23">
        <f>'Placement Information'!$V$32</f>
        <v>0</v>
      </c>
      <c r="P195" s="23">
        <f>'Placement Information'!$D$45</f>
        <v>0</v>
      </c>
      <c r="Q195" s="23">
        <f>'Placement Information'!$J$45</f>
        <v>0</v>
      </c>
      <c r="R195" s="24">
        <f>'Placement Information'!$P$45</f>
        <v>0</v>
      </c>
    </row>
    <row r="196" ht="9" customHeight="1" spans="1:18" x14ac:dyDescent="0.25">
      <c r="A196" s="25"/>
      <c r="B196" s="3"/>
      <c r="C196" s="2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21.6" customHeight="1" spans="1:18" x14ac:dyDescent="0.25">
      <c r="A197" s="25"/>
      <c r="B197" s="3"/>
      <c r="C197" s="26" t="s">
        <v>13</v>
      </c>
      <c r="D197" s="27">
        <v>1</v>
      </c>
      <c r="E197" s="27">
        <v>2</v>
      </c>
      <c r="F197" s="27">
        <v>3</v>
      </c>
      <c r="G197" s="27">
        <v>4</v>
      </c>
      <c r="H197" s="27">
        <v>5</v>
      </c>
      <c r="I197" s="27">
        <v>6</v>
      </c>
      <c r="J197" s="27">
        <v>7</v>
      </c>
      <c r="K197" s="27">
        <v>8</v>
      </c>
      <c r="L197" s="27">
        <v>9</v>
      </c>
      <c r="M197" s="27">
        <v>10</v>
      </c>
      <c r="N197" s="27">
        <v>11</v>
      </c>
      <c r="O197" s="27">
        <v>12</v>
      </c>
      <c r="P197" s="27">
        <v>13</v>
      </c>
      <c r="Q197" s="27">
        <v>14</v>
      </c>
      <c r="R197" s="28">
        <v>15</v>
      </c>
    </row>
    <row r="198" ht="21.6" customHeight="1" spans="1:18" x14ac:dyDescent="0.25">
      <c r="A198" s="25"/>
      <c r="B198" s="3"/>
      <c r="C198" s="29" t="s">
        <v>14</v>
      </c>
      <c r="D198" s="9" t="s">
        <v>53</v>
      </c>
      <c r="E198" s="9" t="s">
        <v>53</v>
      </c>
      <c r="F198" s="9" t="s">
        <v>53</v>
      </c>
      <c r="G198" s="9" t="s">
        <v>53</v>
      </c>
      <c r="H198" s="9" t="s">
        <v>53</v>
      </c>
      <c r="I198" s="9" t="s">
        <v>53</v>
      </c>
      <c r="J198" s="9" t="s">
        <v>53</v>
      </c>
      <c r="K198" s="9" t="s">
        <v>53</v>
      </c>
      <c r="L198" s="9" t="s">
        <v>53</v>
      </c>
      <c r="M198" s="9" t="s">
        <v>53</v>
      </c>
      <c r="N198" s="9" t="s">
        <v>53</v>
      </c>
      <c r="O198" s="9" t="s">
        <v>53</v>
      </c>
      <c r="P198" s="9" t="s">
        <v>53</v>
      </c>
      <c r="Q198" s="9" t="s">
        <v>53</v>
      </c>
      <c r="R198" s="30" t="s">
        <v>53</v>
      </c>
    </row>
    <row r="199" ht="21.6" customHeight="1" spans="1:18" x14ac:dyDescent="0.25">
      <c r="A199" s="25"/>
      <c r="B199" s="31" t="s">
        <v>54</v>
      </c>
      <c r="C199" s="29" t="s">
        <v>16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3"/>
    </row>
    <row r="200" ht="21.6" customHeight="1" spans="1:18" x14ac:dyDescent="0.25">
      <c r="A200" s="25"/>
      <c r="B200" s="34" t="s">
        <v>54</v>
      </c>
      <c r="C200" s="29" t="s">
        <v>27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6"/>
    </row>
    <row r="201" ht="21.6" customHeight="1" spans="1:18" x14ac:dyDescent="0.25">
      <c r="A201" s="25"/>
      <c r="B201" s="37" t="s">
        <v>54</v>
      </c>
      <c r="C201" s="38" t="s">
        <v>28</v>
      </c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40"/>
    </row>
    <row r="202" ht="9" customHeight="1" spans="1:18" x14ac:dyDescent="0.25">
      <c r="A202" s="25"/>
      <c r="B202" s="3"/>
      <c r="C202" s="2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21.6" customHeight="1" spans="1:18" x14ac:dyDescent="0.25">
      <c r="A203" s="25"/>
      <c r="B203" s="3"/>
      <c r="C203" s="62" t="s">
        <v>19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4">
        <f>SUM(D203:K203)/8</f>
        <v>0</v>
      </c>
    </row>
    <row r="204" ht="9" customHeight="1" spans="1:16" x14ac:dyDescent="0.25">
      <c r="A204" s="18"/>
      <c r="B204" s="44"/>
      <c r="C204" s="18"/>
      <c r="D204" s="44"/>
      <c r="E204" s="3"/>
      <c r="F204" s="15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21.6" customHeight="1" spans="1:18" x14ac:dyDescent="0.25">
      <c r="A205" s="25"/>
      <c r="B205" s="44"/>
      <c r="C205" s="44"/>
      <c r="D205" s="44"/>
      <c r="E205" s="44"/>
      <c r="F205" s="45" t="s">
        <v>20</v>
      </c>
      <c r="G205" s="46"/>
      <c r="H205" s="46"/>
      <c r="I205" s="47"/>
      <c r="J205" s="47"/>
      <c r="K205" s="47"/>
      <c r="L205" s="47"/>
      <c r="M205" s="47"/>
      <c r="N205" s="47"/>
      <c r="O205" s="47"/>
      <c r="P205" s="47"/>
      <c r="Q205" s="47"/>
      <c r="R205" s="47"/>
    </row>
    <row r="206" ht="21.6" customHeight="1" spans="1:18" x14ac:dyDescent="0.25">
      <c r="A206" s="25"/>
      <c r="B206" s="44" t="s">
        <v>55</v>
      </c>
      <c r="C206" s="44"/>
      <c r="D206" s="44"/>
      <c r="E206" s="44"/>
      <c r="F206" s="45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</row>
    <row r="207" ht="21.6" customHeight="1" spans="1:18" x14ac:dyDescent="0.25">
      <c r="A207" s="25"/>
      <c r="B207" s="44" t="s">
        <v>22</v>
      </c>
      <c r="C207" s="44"/>
      <c r="D207" s="44"/>
      <c r="E207" s="44"/>
      <c r="F207" s="45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ht="21.6" customHeight="1" spans="1:18" x14ac:dyDescent="0.25">
      <c r="A208" s="25"/>
      <c r="D208" s="3"/>
      <c r="E208" s="3"/>
      <c r="F208" s="45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</row>
    <row r="209" ht="16.15" customHeight="1" spans="1:18" x14ac:dyDescent="0.25">
      <c r="A209" s="25"/>
      <c r="D209" s="3"/>
      <c r="E209" s="3"/>
      <c r="F209" s="53"/>
      <c r="G209" s="3"/>
      <c r="H209" s="3"/>
      <c r="I209" s="54"/>
      <c r="J209" s="54"/>
      <c r="K209" s="54"/>
      <c r="L209" s="54"/>
      <c r="M209" s="54"/>
      <c r="N209" s="54"/>
      <c r="O209" s="54"/>
      <c r="P209" s="54"/>
      <c r="Q209" s="54"/>
      <c r="R209" s="54"/>
    </row>
    <row r="210" ht="16.15" customHeight="1" spans="1:18" x14ac:dyDescent="0.25">
      <c r="A210" s="25"/>
      <c r="D210" s="3"/>
      <c r="E210" s="3"/>
      <c r="F210" s="53"/>
      <c r="G210" s="3"/>
      <c r="H210" s="3"/>
      <c r="I210" s="54"/>
      <c r="J210" s="54"/>
      <c r="K210" s="54"/>
      <c r="L210" s="54"/>
      <c r="M210" s="54"/>
      <c r="N210" s="54"/>
      <c r="O210" s="54"/>
      <c r="P210" s="54"/>
      <c r="Q210" s="54"/>
      <c r="R210" s="54"/>
    </row>
    <row r="211" ht="16.15" customHeight="1" spans="1:18" x14ac:dyDescent="0.25">
      <c r="A211" s="25"/>
      <c r="D211" s="3"/>
      <c r="E211" s="3"/>
      <c r="F211" s="53"/>
      <c r="G211" s="3"/>
      <c r="H211" s="3"/>
      <c r="I211" s="54"/>
      <c r="J211" s="54"/>
      <c r="K211" s="54"/>
      <c r="L211" s="54"/>
      <c r="M211" s="54"/>
      <c r="N211" s="54"/>
      <c r="O211" s="54"/>
      <c r="P211" s="54"/>
      <c r="Q211" s="54"/>
      <c r="R211" s="54"/>
    </row>
    <row r="212" ht="16.15" customHeight="1" spans="1:18" x14ac:dyDescent="0.25">
      <c r="A212" s="25"/>
      <c r="D212" s="3"/>
      <c r="E212" s="3"/>
      <c r="F212" s="53"/>
      <c r="G212" s="3"/>
      <c r="H212" s="3"/>
      <c r="I212" s="54"/>
      <c r="J212" s="54"/>
      <c r="K212" s="54"/>
      <c r="L212" s="54"/>
      <c r="M212" s="54"/>
      <c r="N212" s="54"/>
      <c r="O212" s="54"/>
      <c r="P212" s="54"/>
      <c r="Q212" s="54"/>
      <c r="R212" s="54"/>
    </row>
    <row r="213" ht="16.15" customHeight="1" spans="4:16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6.15" customHeight="1" spans="4:16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6.15" customHeight="1" x14ac:dyDescent="0.25"/>
    <row r="216" ht="21.6" customHeight="1" spans="1:16" x14ac:dyDescent="0.25">
      <c r="A216" s="3"/>
      <c r="B216" s="4" t="s">
        <v>23</v>
      </c>
      <c r="C216" s="5" t="str">
        <f>C190</f>
        <v>Bedstone Poultry Ltd</v>
      </c>
      <c r="E216" s="6" t="s">
        <v>2</v>
      </c>
      <c r="F216" s="7"/>
      <c r="G216" s="7"/>
      <c r="H216" s="7"/>
      <c r="I216" s="7"/>
      <c r="J216" s="8"/>
      <c r="L216" s="3" t="s">
        <v>3</v>
      </c>
      <c r="M216" s="9">
        <v>9</v>
      </c>
      <c r="N216" s="9" t="s">
        <v>4</v>
      </c>
      <c r="O216" s="9">
        <v>9</v>
      </c>
      <c r="P216" s="3"/>
    </row>
    <row r="217" ht="21.6" customHeight="1" spans="1:16" x14ac:dyDescent="0.25">
      <c r="A217" s="3"/>
      <c r="B217" s="10" t="s">
        <v>24</v>
      </c>
      <c r="C217" s="11">
        <f>C191</f>
        <v>3009</v>
      </c>
      <c r="D217" s="3"/>
      <c r="E217" s="12"/>
      <c r="F217" s="13"/>
      <c r="G217" s="13"/>
      <c r="H217" s="13"/>
      <c r="I217" s="13"/>
      <c r="J217" s="14"/>
      <c r="K217" s="15"/>
      <c r="L217" s="3"/>
      <c r="M217" s="3"/>
      <c r="N217" s="3"/>
      <c r="O217" s="3"/>
      <c r="P217" s="1"/>
    </row>
    <row r="218" ht="21.6" customHeight="1" spans="1:16" x14ac:dyDescent="0.25">
      <c r="A218" s="3"/>
      <c r="B218" s="16" t="s">
        <v>25</v>
      </c>
      <c r="C218" s="17">
        <f>C192</f>
        <v>NaN</v>
      </c>
      <c r="D218" s="3"/>
      <c r="E218" s="1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9" customHeight="1" x14ac:dyDescent="0.25"/>
    <row r="220" ht="21.6" customHeight="1" spans="1:18" x14ac:dyDescent="0.25">
      <c r="A220" s="3"/>
      <c r="B220" s="3"/>
      <c r="C220" s="19" t="s">
        <v>9</v>
      </c>
      <c r="D220" s="20">
        <f>'Placement Information'!$C$15</f>
        <v>0</v>
      </c>
      <c r="E220" s="20">
        <f>'Placement Information'!$I$15</f>
        <v>0</v>
      </c>
      <c r="F220" s="20">
        <f>'Placement Information'!$O$15</f>
        <v>0</v>
      </c>
      <c r="G220" s="20">
        <f>'Placement Information'!$U$15</f>
        <v>0</v>
      </c>
      <c r="H220" s="20">
        <f>'Placement Information'!$C$28</f>
        <v>0</v>
      </c>
      <c r="I220" s="20">
        <f>'Placement Information'!$I$28</f>
        <v>0</v>
      </c>
      <c r="J220" s="20">
        <f>'Placement Information'!$O$28</f>
        <v>0</v>
      </c>
      <c r="K220" s="20">
        <f>'Placement Information'!$U$28</f>
        <v>0</v>
      </c>
      <c r="L220" s="20">
        <f>'Placement Information'!$C$41</f>
        <v>0</v>
      </c>
      <c r="M220" s="20">
        <f>'Placement Information'!$I$41</f>
        <v>0</v>
      </c>
      <c r="N220" s="20">
        <f>'Placement Information'!$O$41</f>
        <v>0</v>
      </c>
      <c r="O220" s="20">
        <f>'Placement Information'!$U$41</f>
        <v>0</v>
      </c>
      <c r="P220" s="20">
        <f>'Placement Information'!$C$54</f>
        <v>0</v>
      </c>
      <c r="Q220" s="20">
        <f>'Placement Information'!$I$54</f>
        <v>0</v>
      </c>
      <c r="R220" s="21">
        <f>'Placement Information'!$O$54</f>
        <v>0</v>
      </c>
    </row>
    <row r="221" ht="21.6" customHeight="1" spans="1:18" x14ac:dyDescent="0.25">
      <c r="A221" s="3"/>
      <c r="B221" s="3"/>
      <c r="C221" s="22" t="s">
        <v>11</v>
      </c>
      <c r="D221" s="23" t="str">
        <f>'Placement Information'!$D$6</f>
        <v>Ross 308</v>
      </c>
      <c r="E221" s="23" t="str">
        <f>'Placement Information'!$J$6</f>
        <v>Ross 308</v>
      </c>
      <c r="F221" s="23" t="str">
        <f>'Placement Information'!$P$6</f>
        <v>Ross 308</v>
      </c>
      <c r="G221" s="23" t="str">
        <f>'Placement Information'!$V$6</f>
        <v>Ross 308</v>
      </c>
      <c r="H221" s="23" t="str">
        <f>'Placement Information'!$D$19</f>
        <v>Ross 308</v>
      </c>
      <c r="I221" s="23" t="str">
        <f>'Placement Information'!$J$19</f>
        <v>Ross 308</v>
      </c>
      <c r="J221" s="23" t="str">
        <f>'Placement Information'!$P$19</f>
        <v>Ross 308</v>
      </c>
      <c r="K221" s="23" t="str">
        <f>'Placement Information'!$V$19</f>
        <v>Ross 308</v>
      </c>
      <c r="L221" s="23">
        <f>'Placement Information'!$D$32</f>
        <v>0</v>
      </c>
      <c r="M221" s="23">
        <f>'Placement Information'!$J$32</f>
        <v>0</v>
      </c>
      <c r="N221" s="23">
        <f>'Placement Information'!$P$32</f>
        <v>0</v>
      </c>
      <c r="O221" s="23">
        <f>'Placement Information'!$V$32</f>
        <v>0</v>
      </c>
      <c r="P221" s="23">
        <f>'Placement Information'!$D$45</f>
        <v>0</v>
      </c>
      <c r="Q221" s="23">
        <f>'Placement Information'!$J$45</f>
        <v>0</v>
      </c>
      <c r="R221" s="24">
        <f>'Placement Information'!$P$45</f>
        <v>0</v>
      </c>
    </row>
    <row r="222" ht="9" customHeight="1" spans="1:18" x14ac:dyDescent="0.25">
      <c r="A222" s="25"/>
      <c r="B222" s="3"/>
      <c r="C222" s="2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21.6" customHeight="1" spans="1:18" x14ac:dyDescent="0.25">
      <c r="A223" s="25"/>
      <c r="B223" s="3"/>
      <c r="C223" s="26" t="s">
        <v>13</v>
      </c>
      <c r="D223" s="27">
        <v>1</v>
      </c>
      <c r="E223" s="27">
        <v>2</v>
      </c>
      <c r="F223" s="27">
        <v>3</v>
      </c>
      <c r="G223" s="27">
        <v>4</v>
      </c>
      <c r="H223" s="27">
        <v>5</v>
      </c>
      <c r="I223" s="27">
        <v>6</v>
      </c>
      <c r="J223" s="27">
        <v>7</v>
      </c>
      <c r="K223" s="27">
        <v>8</v>
      </c>
      <c r="L223" s="27">
        <v>9</v>
      </c>
      <c r="M223" s="27">
        <v>10</v>
      </c>
      <c r="N223" s="27">
        <v>11</v>
      </c>
      <c r="O223" s="27">
        <v>12</v>
      </c>
      <c r="P223" s="27">
        <v>13</v>
      </c>
      <c r="Q223" s="27">
        <v>14</v>
      </c>
      <c r="R223" s="28">
        <v>15</v>
      </c>
    </row>
    <row r="224" ht="21.6" customHeight="1" spans="1:18" x14ac:dyDescent="0.25">
      <c r="A224" s="25"/>
      <c r="B224" s="3"/>
      <c r="C224" s="29" t="s">
        <v>14</v>
      </c>
      <c r="D224" s="9" t="s">
        <v>56</v>
      </c>
      <c r="E224" s="9" t="s">
        <v>56</v>
      </c>
      <c r="F224" s="9" t="s">
        <v>56</v>
      </c>
      <c r="G224" s="9" t="s">
        <v>56</v>
      </c>
      <c r="H224" s="9" t="s">
        <v>56</v>
      </c>
      <c r="I224" s="9" t="s">
        <v>56</v>
      </c>
      <c r="J224" s="9" t="s">
        <v>56</v>
      </c>
      <c r="K224" s="9" t="s">
        <v>56</v>
      </c>
      <c r="L224" s="9" t="s">
        <v>56</v>
      </c>
      <c r="M224" s="9" t="s">
        <v>56</v>
      </c>
      <c r="N224" s="9" t="s">
        <v>56</v>
      </c>
      <c r="O224" s="9" t="s">
        <v>56</v>
      </c>
      <c r="P224" s="9" t="s">
        <v>56</v>
      </c>
      <c r="Q224" s="9" t="s">
        <v>56</v>
      </c>
      <c r="R224" s="30" t="s">
        <v>56</v>
      </c>
    </row>
    <row r="225" ht="21.6" customHeight="1" spans="1:18" x14ac:dyDescent="0.25">
      <c r="A225" s="25"/>
      <c r="B225" s="31" t="s">
        <v>57</v>
      </c>
      <c r="C225" s="29" t="s">
        <v>16</v>
      </c>
      <c r="D225" s="65">
        <f>+D199+D173+D144+D93+D65+D37+D11</f>
        <v>0</v>
      </c>
      <c r="E225" s="65">
        <f t="shared" ref="E225:R225" si="0">+E199+E173+E144+E93+E65+E37+E11</f>
        <v>0</v>
      </c>
      <c r="F225" s="65">
        <f t="shared" si="0"/>
        <v>0</v>
      </c>
      <c r="G225" s="65">
        <f t="shared" si="0"/>
        <v>0</v>
      </c>
      <c r="H225" s="65">
        <f t="shared" si="0"/>
        <v>0</v>
      </c>
      <c r="I225" s="65">
        <f t="shared" si="0"/>
        <v>0</v>
      </c>
      <c r="J225" s="65">
        <f t="shared" si="0"/>
        <v>0</v>
      </c>
      <c r="K225" s="65">
        <f t="shared" si="0"/>
        <v>0</v>
      </c>
      <c r="L225" s="65">
        <f t="shared" si="0"/>
        <v>0</v>
      </c>
      <c r="M225" s="65">
        <f t="shared" si="0"/>
        <v>0</v>
      </c>
      <c r="N225" s="65">
        <f t="shared" si="0"/>
        <v>0</v>
      </c>
      <c r="O225" s="65">
        <f t="shared" si="0"/>
        <v>0</v>
      </c>
      <c r="P225" s="65">
        <f t="shared" si="0"/>
        <v>0</v>
      </c>
      <c r="Q225" s="65">
        <f t="shared" si="0"/>
        <v>0</v>
      </c>
      <c r="R225" s="65">
        <f t="shared" si="0"/>
        <v>0</v>
      </c>
    </row>
    <row r="226" ht="21.6" customHeight="1" spans="1:18" x14ac:dyDescent="0.25">
      <c r="A226" s="25"/>
      <c r="B226" s="34" t="s">
        <v>57</v>
      </c>
      <c r="C226" s="29" t="s">
        <v>27</v>
      </c>
      <c r="D226" s="65">
        <f>+D200+D174+D145+D94+D66+D38+D12</f>
        <v>0</v>
      </c>
      <c r="E226" s="65">
        <f t="shared" ref="E226:R226" si="1">+E200+E174+E145+E94+E66+E38+E12</f>
        <v>0</v>
      </c>
      <c r="F226" s="65">
        <f t="shared" si="1"/>
        <v>0</v>
      </c>
      <c r="G226" s="65">
        <f t="shared" si="1"/>
        <v>0</v>
      </c>
      <c r="H226" s="65">
        <f t="shared" si="1"/>
        <v>0</v>
      </c>
      <c r="I226" s="65">
        <f t="shared" si="1"/>
        <v>0</v>
      </c>
      <c r="J226" s="65">
        <f t="shared" si="1"/>
        <v>0</v>
      </c>
      <c r="K226" s="65">
        <f t="shared" si="1"/>
        <v>0</v>
      </c>
      <c r="L226" s="65">
        <f t="shared" si="1"/>
        <v>0</v>
      </c>
      <c r="M226" s="65">
        <f t="shared" si="1"/>
        <v>0</v>
      </c>
      <c r="N226" s="65">
        <f t="shared" si="1"/>
        <v>0</v>
      </c>
      <c r="O226" s="65">
        <f t="shared" si="1"/>
        <v>0</v>
      </c>
      <c r="P226" s="65">
        <f t="shared" si="1"/>
        <v>0</v>
      </c>
      <c r="Q226" s="65">
        <f t="shared" si="1"/>
        <v>0</v>
      </c>
      <c r="R226" s="65">
        <f t="shared" si="1"/>
        <v>0</v>
      </c>
    </row>
    <row r="227" ht="21.6" customHeight="1" spans="1:18" x14ac:dyDescent="0.25">
      <c r="A227" s="25"/>
      <c r="B227" s="37" t="s">
        <v>57</v>
      </c>
      <c r="C227" s="38" t="s">
        <v>28</v>
      </c>
      <c r="D227" s="66">
        <f>+D201+D175+D146+D95+D67+D39+D13</f>
        <v>0</v>
      </c>
      <c r="E227" s="66">
        <f t="shared" ref="E227:R227" si="2">+E201+E175+E146+E95+E67+E39+E13</f>
        <v>0</v>
      </c>
      <c r="F227" s="66">
        <f t="shared" si="2"/>
        <v>0</v>
      </c>
      <c r="G227" s="66">
        <f t="shared" si="2"/>
        <v>0</v>
      </c>
      <c r="H227" s="66">
        <f t="shared" si="2"/>
        <v>0</v>
      </c>
      <c r="I227" s="66">
        <f t="shared" si="2"/>
        <v>0</v>
      </c>
      <c r="J227" s="66">
        <f t="shared" si="2"/>
        <v>0</v>
      </c>
      <c r="K227" s="66">
        <f t="shared" si="2"/>
        <v>0</v>
      </c>
      <c r="L227" s="66">
        <f t="shared" si="2"/>
        <v>0</v>
      </c>
      <c r="M227" s="66">
        <f t="shared" si="2"/>
        <v>0</v>
      </c>
      <c r="N227" s="66">
        <f t="shared" si="2"/>
        <v>0</v>
      </c>
      <c r="O227" s="66">
        <f t="shared" si="2"/>
        <v>0</v>
      </c>
      <c r="P227" s="66">
        <f t="shared" si="2"/>
        <v>0</v>
      </c>
      <c r="Q227" s="66">
        <f t="shared" si="2"/>
        <v>0</v>
      </c>
      <c r="R227" s="66">
        <f t="shared" si="2"/>
        <v>0</v>
      </c>
    </row>
    <row r="228" ht="9" customHeight="1" spans="1:18" x14ac:dyDescent="0.25">
      <c r="A228" s="25"/>
      <c r="B228" s="3"/>
      <c r="C228" s="2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21.6" customHeight="1" spans="1:18" x14ac:dyDescent="0.25">
      <c r="A229" s="25"/>
      <c r="B229" s="3"/>
      <c r="C229" s="62" t="s">
        <v>19</v>
      </c>
      <c r="D229" s="63">
        <f>SUM(D203)</f>
        <v>0</v>
      </c>
      <c r="E229" s="63">
        <f>SUM(E203)</f>
        <v>0</v>
      </c>
      <c r="F229" s="63">
        <f>SUM(F203)</f>
        <v>0</v>
      </c>
      <c r="G229" s="63">
        <f>SUM(G203)</f>
        <v>0</v>
      </c>
      <c r="H229" s="63">
        <f>SUM(H203)</f>
        <v>0</v>
      </c>
      <c r="I229" s="63">
        <f>SUM(I203)</f>
        <v>0</v>
      </c>
      <c r="J229" s="63">
        <f>SUM(J203)</f>
        <v>0</v>
      </c>
      <c r="K229" s="63">
        <f>SUM(K203)</f>
        <v>0</v>
      </c>
      <c r="L229" s="63"/>
      <c r="M229" s="63"/>
      <c r="N229" s="63"/>
      <c r="O229" s="63"/>
      <c r="P229" s="63"/>
      <c r="Q229" s="63"/>
      <c r="R229" s="64">
        <f>SUM(D229:K229)/8</f>
        <v>0</v>
      </c>
    </row>
    <row r="230" ht="9" customHeight="1" spans="1:16" x14ac:dyDescent="0.25">
      <c r="A230" s="18"/>
      <c r="B230" s="44"/>
      <c r="C230" s="18"/>
      <c r="D230" s="44"/>
      <c r="E230" s="3"/>
      <c r="F230" s="15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21.6" customHeight="1" spans="1:16" x14ac:dyDescent="0.25">
      <c r="A231" s="25"/>
      <c r="B231" s="44" t="s">
        <v>58</v>
      </c>
      <c r="C231" s="44"/>
      <c r="D231" s="44"/>
      <c r="E231" s="44"/>
      <c r="J231" s="67" t="s">
        <v>59</v>
      </c>
      <c r="K231" s="1"/>
      <c r="L231" s="1"/>
      <c r="M231" s="1"/>
      <c r="N231" s="1"/>
      <c r="O231" s="1"/>
      <c r="P231" s="1"/>
    </row>
    <row r="232" ht="36.75" customHeight="1" spans="1:17" x14ac:dyDescent="0.25">
      <c r="A232" s="25"/>
      <c r="B232" s="68" t="s">
        <v>60</v>
      </c>
      <c r="C232" s="69" t="s">
        <v>61</v>
      </c>
      <c r="D232" s="70"/>
      <c r="E232" s="18"/>
      <c r="J232" s="71" t="s">
        <v>62</v>
      </c>
      <c r="K232" s="71" t="s">
        <v>63</v>
      </c>
      <c r="L232" s="71" t="s">
        <v>64</v>
      </c>
      <c r="M232" s="72" t="s">
        <v>65</v>
      </c>
      <c r="N232" s="72" t="s">
        <v>66</v>
      </c>
      <c r="O232" s="72" t="s">
        <v>67</v>
      </c>
      <c r="P232" s="73" t="s">
        <v>68</v>
      </c>
      <c r="Q232" s="73" t="s">
        <v>69</v>
      </c>
    </row>
    <row r="233" ht="21" customHeight="1" spans="1:17" x14ac:dyDescent="0.25">
      <c r="A233" s="25"/>
      <c r="B233" s="18"/>
      <c r="C233" s="74" t="s">
        <v>70</v>
      </c>
      <c r="D233" s="75"/>
      <c r="E233" s="76"/>
      <c r="J233" s="77"/>
      <c r="K233" s="78"/>
      <c r="L233" s="79"/>
      <c r="M233" s="78"/>
      <c r="N233" s="80"/>
      <c r="O233" s="78"/>
      <c r="P233" s="78"/>
      <c r="Q233" s="78"/>
    </row>
    <row r="234" ht="21" customHeight="1" spans="1:17" x14ac:dyDescent="0.25">
      <c r="A234" s="25"/>
      <c r="B234" s="18"/>
      <c r="C234" s="74" t="s">
        <v>71</v>
      </c>
      <c r="D234" s="75"/>
      <c r="E234" s="81" t="s">
        <v>72</v>
      </c>
      <c r="F234" s="82"/>
      <c r="G234" s="78"/>
      <c r="J234" s="77"/>
      <c r="K234" s="78"/>
      <c r="L234" s="79"/>
      <c r="M234" s="78"/>
      <c r="N234" s="80"/>
      <c r="O234" s="78"/>
      <c r="P234" s="78"/>
      <c r="Q234" s="78"/>
    </row>
    <row r="235" ht="21" customHeight="1" spans="2:17" x14ac:dyDescent="0.25">
      <c r="B235" s="18"/>
      <c r="C235" s="74" t="s">
        <v>73</v>
      </c>
      <c r="D235" s="75"/>
      <c r="E235" s="18"/>
      <c r="G235" s="83" t="s">
        <v>74</v>
      </c>
      <c r="J235" s="77"/>
      <c r="K235" s="78"/>
      <c r="L235" s="79"/>
      <c r="M235" s="78"/>
      <c r="N235" s="80"/>
      <c r="O235" s="78"/>
      <c r="P235" s="78"/>
      <c r="Q235" s="78"/>
    </row>
    <row r="236" ht="21" customHeight="1" spans="2:17" x14ac:dyDescent="0.25">
      <c r="B236" s="18"/>
      <c r="C236" s="74" t="s">
        <v>75</v>
      </c>
      <c r="D236" s="84">
        <f>D232+D233-D234-D235</f>
        <v>0</v>
      </c>
      <c r="E236" s="18"/>
      <c r="F236" s="85"/>
      <c r="G236" s="85"/>
      <c r="H236" s="85"/>
      <c r="J236" s="77"/>
      <c r="K236" s="78"/>
      <c r="L236" s="79"/>
      <c r="M236" s="78"/>
      <c r="N236" s="80"/>
      <c r="O236" s="78"/>
      <c r="P236" s="78"/>
      <c r="Q236" s="78"/>
    </row>
    <row r="237" ht="21" customHeight="1" spans="2:17" x14ac:dyDescent="0.25">
      <c r="B237" s="18"/>
      <c r="C237" s="74" t="s">
        <v>76</v>
      </c>
      <c r="D237" s="75"/>
      <c r="E237" s="18"/>
      <c r="F237" s="85"/>
      <c r="G237" s="85"/>
      <c r="H237" s="85"/>
      <c r="J237" s="77"/>
      <c r="K237" s="78"/>
      <c r="L237" s="79"/>
      <c r="M237" s="78"/>
      <c r="N237" s="80"/>
      <c r="O237" s="78"/>
      <c r="P237" s="78"/>
      <c r="Q237" s="78"/>
    </row>
    <row r="238" ht="21" customHeight="1" spans="3:17" x14ac:dyDescent="0.25">
      <c r="C238" s="86" t="s">
        <v>77</v>
      </c>
      <c r="D238" s="87">
        <f>D237+D236</f>
        <v>0</v>
      </c>
      <c r="F238" s="85"/>
      <c r="G238" s="85"/>
      <c r="H238" s="85"/>
      <c r="J238" s="77"/>
      <c r="K238" s="78"/>
      <c r="L238" s="79"/>
      <c r="M238" s="78"/>
      <c r="N238" s="80"/>
      <c r="O238" s="78"/>
      <c r="P238" s="78"/>
      <c r="Q238" s="78"/>
    </row>
    <row r="239" ht="21" customHeight="1" spans="2:17" x14ac:dyDescent="0.25">
      <c r="B239" s="68" t="s">
        <v>78</v>
      </c>
      <c r="C239" s="88" t="s">
        <v>79</v>
      </c>
      <c r="D239" s="89"/>
      <c r="F239" s="85"/>
      <c r="G239" s="85"/>
      <c r="H239" s="85"/>
      <c r="J239" s="77"/>
      <c r="K239" s="78"/>
      <c r="L239" s="79"/>
      <c r="M239" s="78"/>
      <c r="N239" s="80"/>
      <c r="O239" s="78"/>
      <c r="P239" s="78"/>
      <c r="Q239" s="78"/>
    </row>
    <row r="240" ht="21" customHeight="1" spans="2:17" x14ac:dyDescent="0.25">
      <c r="B240" s="90" t="s">
        <v>80</v>
      </c>
      <c r="C240" s="91" t="s">
        <v>81</v>
      </c>
      <c r="D240" s="92"/>
      <c r="E240" s="93" t="s">
        <v>82</v>
      </c>
      <c r="F240" s="81"/>
      <c r="G240" s="81"/>
      <c r="H240" s="81"/>
      <c r="J240" s="77"/>
      <c r="K240" s="78"/>
      <c r="L240" s="79"/>
      <c r="M240" s="78"/>
      <c r="N240" s="80"/>
      <c r="O240" s="78"/>
      <c r="P240" s="78"/>
      <c r="Q240" s="78"/>
    </row>
    <row r="241" ht="21" customHeight="1" spans="3:17" x14ac:dyDescent="0.25">
      <c r="C241" s="94" t="s">
        <v>81</v>
      </c>
      <c r="D241" s="95"/>
      <c r="J241" s="77"/>
      <c r="K241" s="78"/>
      <c r="L241" s="79"/>
      <c r="M241" s="78"/>
      <c r="N241" s="80"/>
      <c r="O241" s="78"/>
      <c r="P241" s="78"/>
      <c r="Q241" s="78"/>
    </row>
    <row r="242" ht="21" customHeight="1" spans="10:17" x14ac:dyDescent="0.25">
      <c r="J242" s="77"/>
      <c r="K242" s="78"/>
      <c r="L242" s="79"/>
      <c r="M242" s="78"/>
      <c r="N242" s="80"/>
      <c r="O242" s="78"/>
      <c r="P242" s="78"/>
      <c r="Q242" s="78"/>
    </row>
    <row r="243" ht="21" customHeight="1" spans="10:17" x14ac:dyDescent="0.25">
      <c r="J243" s="77"/>
      <c r="K243" s="78"/>
      <c r="L243" s="79"/>
      <c r="M243" s="78"/>
      <c r="N243" s="80"/>
      <c r="O243" s="78"/>
      <c r="P243" s="78"/>
      <c r="Q243" s="78"/>
    </row>
    <row r="244" ht="21" customHeight="1" spans="2:17" x14ac:dyDescent="0.25">
      <c r="B244" s="44" t="s">
        <v>55</v>
      </c>
      <c r="C244" s="44"/>
      <c r="D244" s="44"/>
      <c r="E244" s="44"/>
      <c r="J244" s="77"/>
      <c r="K244" s="78"/>
      <c r="L244" s="79"/>
      <c r="M244" s="78"/>
      <c r="N244" s="80"/>
      <c r="O244" s="78"/>
      <c r="P244" s="78"/>
      <c r="Q244" s="78"/>
    </row>
    <row r="245" ht="21" customHeight="1" spans="2:17" x14ac:dyDescent="0.25">
      <c r="B245" s="44" t="s">
        <v>83</v>
      </c>
      <c r="C245" s="44"/>
      <c r="D245" s="44"/>
      <c r="E245" s="44"/>
      <c r="J245" s="77"/>
      <c r="K245" s="78"/>
      <c r="L245" s="79"/>
      <c r="M245" s="78"/>
      <c r="N245" s="80"/>
      <c r="O245" s="78"/>
      <c r="P245" s="78"/>
      <c r="Q245" s="78"/>
    </row>
    <row r="246" spans="2:5" x14ac:dyDescent="0.25">
      <c r="B246" s="44" t="s">
        <v>84</v>
      </c>
      <c r="C246" s="44"/>
      <c r="D246" s="44"/>
      <c r="E246" s="44"/>
    </row>
    <row r="249" spans="3:3" x14ac:dyDescent="0.25">
      <c r="C249" s="25"/>
    </row>
    <row r="354" spans="5:16" x14ac:dyDescent="0.25"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6" spans="1:2" x14ac:dyDescent="0.25">
      <c r="A356" s="25"/>
      <c r="B356" s="3"/>
    </row>
    <row r="358" spans="4:4" x14ac:dyDescent="0.25">
      <c r="D358" s="15"/>
    </row>
  </sheetData>
  <mergeCells count="38">
    <mergeCell ref="E2:J3"/>
    <mergeCell ref="B17:E17"/>
    <mergeCell ref="B18:E18"/>
    <mergeCell ref="B19:E19"/>
    <mergeCell ref="E28:J29"/>
    <mergeCell ref="B45:E45"/>
    <mergeCell ref="B46:E46"/>
    <mergeCell ref="B47:E47"/>
    <mergeCell ref="E56:J57"/>
    <mergeCell ref="B73:E73"/>
    <mergeCell ref="B74:E74"/>
    <mergeCell ref="B75:E75"/>
    <mergeCell ref="E84:J85"/>
    <mergeCell ref="B102:E102"/>
    <mergeCell ref="B103:E103"/>
    <mergeCell ref="B104:E104"/>
    <mergeCell ref="E113:J114"/>
    <mergeCell ref="B124:E124"/>
    <mergeCell ref="B125:E125"/>
    <mergeCell ref="B126:E126"/>
    <mergeCell ref="E135:J136"/>
    <mergeCell ref="B153:E153"/>
    <mergeCell ref="B154:E154"/>
    <mergeCell ref="B155:E155"/>
    <mergeCell ref="E164:J165"/>
    <mergeCell ref="B179:E179"/>
    <mergeCell ref="B180:E180"/>
    <mergeCell ref="B181:E181"/>
    <mergeCell ref="E190:J191"/>
    <mergeCell ref="B205:E205"/>
    <mergeCell ref="B206:E206"/>
    <mergeCell ref="B207:E207"/>
    <mergeCell ref="E216:J217"/>
    <mergeCell ref="B231:E231"/>
    <mergeCell ref="E240:H240"/>
    <mergeCell ref="B244:E244"/>
    <mergeCell ref="B245:E245"/>
    <mergeCell ref="B246:E246"/>
  </mergeCells>
  <pageMargins left="0.7" right="0.7" top="0.75" bottom="0.75" header="0.3" footer="0.3"/>
  <pageSetup paperSize="9" orientation="landscape" horizontalDpi="4294967295" verticalDpi="4294967295" scale="61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5" max="5" width="79.42578125" customWidth="1"/>
  </cols>
  <sheetData>
    <row r="1" spans="1:5" x14ac:dyDescent="0.25">
      <c r="A1">
        <v>7</v>
      </c>
      <c r="B1">
        <v>0.188</v>
      </c>
      <c r="E1" s="132" t="s">
        <v>121</v>
      </c>
    </row>
    <row r="2" spans="1:5" x14ac:dyDescent="0.25">
      <c r="A2">
        <v>14</v>
      </c>
      <c r="B2">
        <v>0.49</v>
      </c>
      <c r="E2" t="s">
        <v>81</v>
      </c>
    </row>
    <row r="3" spans="1:5" x14ac:dyDescent="0.25">
      <c r="A3">
        <v>21</v>
      </c>
      <c r="B3">
        <v>0.975</v>
      </c>
      <c r="E3" t="s">
        <v>122</v>
      </c>
    </row>
    <row r="4" spans="1:5" x14ac:dyDescent="0.25">
      <c r="A4">
        <v>26</v>
      </c>
      <c r="B4">
        <v>1.362</v>
      </c>
      <c r="E4" t="s">
        <v>123</v>
      </c>
    </row>
    <row r="5" spans="1:5" x14ac:dyDescent="0.25">
      <c r="A5">
        <v>28</v>
      </c>
      <c r="B5">
        <v>1.535</v>
      </c>
      <c r="E5" t="s">
        <v>124</v>
      </c>
    </row>
    <row r="6" spans="1:5" x14ac:dyDescent="0.25">
      <c r="A6">
        <v>30</v>
      </c>
      <c r="B6">
        <v>1.718</v>
      </c>
      <c r="E6" t="s">
        <v>125</v>
      </c>
    </row>
    <row r="7" spans="1:5" x14ac:dyDescent="0.25">
      <c r="A7">
        <v>35</v>
      </c>
      <c r="B7">
        <v>2.194</v>
      </c>
      <c r="E7" t="s">
        <v>126</v>
      </c>
    </row>
    <row r="8" spans="5:5" x14ac:dyDescent="0.25">
      <c r="E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4"/>
  <sheetViews>
    <sheetView workbookViewId="0" zoomScale="100" zoomScaleNormal="100">
      <pane ySplit="2" topLeftCell="A3" activePane="bottomLeft" state="frozen"/>
      <selection pane="bottomLeft" activeCell="B9" sqref="B9"/>
    </sheetView>
  </sheetViews>
  <sheetFormatPr defaultRowHeight="15" outlineLevelRow="0" outlineLevelCol="0" x14ac:dyDescent="0.25"/>
  <cols>
    <col min="1" max="1" width="5.7109375" customWidth="1"/>
    <col min="2" max="2" width="11.7109375" style="97" customWidth="1"/>
    <col min="3" max="3" width="10" style="97" customWidth="1"/>
    <col min="4" max="4" width="10.7109375" style="97" customWidth="1"/>
    <col min="5" max="5" width="7.28515625" style="97" customWidth="1"/>
    <col min="6" max="6" width="8.85546875" style="97" customWidth="1"/>
    <col min="7" max="7" width="5.7109375" style="97" customWidth="1"/>
    <col min="8" max="8" width="11.7109375" style="97" customWidth="1"/>
    <col min="9" max="9" width="10" style="97" customWidth="1"/>
    <col min="10" max="10" width="10.7109375" style="97" customWidth="1"/>
    <col min="11" max="11" width="7.28515625" style="97" customWidth="1"/>
    <col min="12" max="12" width="8.85546875" style="97" customWidth="1"/>
    <col min="13" max="13" width="5.7109375" style="97" customWidth="1"/>
    <col min="14" max="14" width="11.7109375" style="97" customWidth="1"/>
    <col min="15" max="15" width="10" style="97" customWidth="1"/>
    <col min="16" max="16" width="10.7109375" style="97" customWidth="1"/>
    <col min="17" max="17" width="7.28515625" style="97" customWidth="1"/>
    <col min="18" max="18" width="8.85546875" style="97" customWidth="1"/>
    <col min="19" max="19" width="5.7109375" style="97" customWidth="1"/>
    <col min="20" max="20" width="11.7109375" style="97" customWidth="1"/>
    <col min="21" max="21" width="10" style="97" customWidth="1"/>
    <col min="22" max="22" width="10.7109375" style="97" customWidth="1"/>
    <col min="23" max="23" width="7.28515625" style="97" customWidth="1"/>
    <col min="24" max="24" width="8.85546875" style="97" customWidth="1"/>
    <col min="27" max="27" width="11.7109375" hidden="1" customWidth="1"/>
  </cols>
  <sheetData>
    <row r="1" ht="15.75" customHeight="1" x14ac:dyDescent="0.25"/>
    <row r="2" ht="15.75" customHeight="1" spans="2:4" x14ac:dyDescent="0.25">
      <c r="B2" s="98" t="s">
        <v>88</v>
      </c>
      <c r="C2" s="99" t="s">
        <v>1</v>
      </c>
      <c r="D2" s="100"/>
    </row>
    <row r="4" ht="15.75" customHeight="1" x14ac:dyDescent="0.25"/>
    <row r="5" ht="15.75" customHeight="1" spans="2:22" x14ac:dyDescent="0.25">
      <c r="B5" s="101" t="s">
        <v>89</v>
      </c>
      <c r="C5" s="102"/>
      <c r="D5" s="103">
        <v>46077</v>
      </c>
      <c r="H5" s="101" t="s">
        <v>89</v>
      </c>
      <c r="I5" s="102"/>
      <c r="J5" s="103">
        <f>SUM(D5)</f>
        <v>46077</v>
      </c>
      <c r="N5" s="101" t="s">
        <v>89</v>
      </c>
      <c r="O5" s="102"/>
      <c r="P5" s="103">
        <f>SUM(J5)</f>
        <v>46077</v>
      </c>
      <c r="T5" s="101" t="s">
        <v>89</v>
      </c>
      <c r="U5" s="102"/>
      <c r="V5" s="103">
        <f>SUM(P5)</f>
        <v>46077</v>
      </c>
    </row>
    <row r="6" ht="15.75" customHeight="1" spans="2:27" x14ac:dyDescent="0.25">
      <c r="B6" s="104" t="s">
        <v>90</v>
      </c>
      <c r="C6" s="105" t="s">
        <v>11</v>
      </c>
      <c r="D6" s="106" t="s">
        <v>8</v>
      </c>
      <c r="H6" s="104" t="s">
        <v>91</v>
      </c>
      <c r="I6" s="105" t="s">
        <v>11</v>
      </c>
      <c r="J6" s="106" t="s">
        <v>8</v>
      </c>
      <c r="N6" s="104" t="s">
        <v>92</v>
      </c>
      <c r="O6" s="105" t="s">
        <v>11</v>
      </c>
      <c r="P6" s="106" t="s">
        <v>8</v>
      </c>
      <c r="T6" s="104" t="s">
        <v>93</v>
      </c>
      <c r="U6" s="105" t="s">
        <v>11</v>
      </c>
      <c r="V6" s="106" t="s">
        <v>8</v>
      </c>
      <c r="AA6" s="107" t="s">
        <v>94</v>
      </c>
    </row>
    <row r="7" ht="15.75" customHeight="1" spans="2:27" x14ac:dyDescent="0.25">
      <c r="B7" s="108" t="s">
        <v>95</v>
      </c>
      <c r="C7" s="109" t="s">
        <v>96</v>
      </c>
      <c r="D7" s="110" t="s">
        <v>97</v>
      </c>
      <c r="E7" s="109" t="s">
        <v>98</v>
      </c>
      <c r="F7" s="111" t="s">
        <v>99</v>
      </c>
      <c r="H7" s="108" t="s">
        <v>95</v>
      </c>
      <c r="I7" s="109" t="s">
        <v>96</v>
      </c>
      <c r="J7" s="110" t="s">
        <v>97</v>
      </c>
      <c r="K7" s="109" t="s">
        <v>98</v>
      </c>
      <c r="L7" s="111" t="s">
        <v>99</v>
      </c>
      <c r="N7" s="108" t="s">
        <v>95</v>
      </c>
      <c r="O7" s="109" t="s">
        <v>96</v>
      </c>
      <c r="P7" s="110" t="s">
        <v>97</v>
      </c>
      <c r="Q7" s="109" t="s">
        <v>98</v>
      </c>
      <c r="R7" s="111" t="s">
        <v>99</v>
      </c>
      <c r="T7" s="108" t="s">
        <v>95</v>
      </c>
      <c r="U7" s="109" t="s">
        <v>96</v>
      </c>
      <c r="V7" s="110" t="s">
        <v>97</v>
      </c>
      <c r="W7" s="109" t="s">
        <v>98</v>
      </c>
      <c r="X7" s="111" t="s">
        <v>99</v>
      </c>
      <c r="AA7" s="112" t="s">
        <v>100</v>
      </c>
    </row>
    <row r="8" spans="2:27" x14ac:dyDescent="0.25">
      <c r="B8" s="113"/>
      <c r="C8" s="114"/>
      <c r="D8" s="115"/>
      <c r="E8" s="116"/>
      <c r="F8" s="117"/>
      <c r="H8" s="113"/>
      <c r="I8" s="114"/>
      <c r="J8" s="115"/>
      <c r="K8" s="116"/>
      <c r="L8" s="117"/>
      <c r="N8" s="113"/>
      <c r="O8" s="114"/>
      <c r="P8" s="115"/>
      <c r="Q8" s="116"/>
      <c r="R8" s="117"/>
      <c r="T8" s="113"/>
      <c r="U8" s="114"/>
      <c r="V8" s="115"/>
      <c r="W8" s="116"/>
      <c r="X8" s="117"/>
      <c r="AA8" s="112" t="s">
        <v>101</v>
      </c>
    </row>
    <row r="9" spans="2:27" x14ac:dyDescent="0.25">
      <c r="B9" s="118"/>
      <c r="C9" s="119"/>
      <c r="D9" s="120"/>
      <c r="E9" s="121"/>
      <c r="F9" s="122"/>
      <c r="H9" s="118"/>
      <c r="I9" s="119"/>
      <c r="J9" s="120"/>
      <c r="K9" s="121"/>
      <c r="L9" s="122"/>
      <c r="N9" s="118"/>
      <c r="O9" s="119"/>
      <c r="P9" s="120"/>
      <c r="Q9" s="121"/>
      <c r="R9" s="122"/>
      <c r="T9" s="118"/>
      <c r="U9" s="119"/>
      <c r="V9" s="120"/>
      <c r="W9" s="121"/>
      <c r="X9" s="122"/>
      <c r="AA9" s="112" t="s">
        <v>102</v>
      </c>
    </row>
    <row r="10" spans="2:27" x14ac:dyDescent="0.25">
      <c r="B10" s="118"/>
      <c r="C10" s="119"/>
      <c r="D10" s="120"/>
      <c r="E10" s="121"/>
      <c r="F10" s="122"/>
      <c r="H10" s="118"/>
      <c r="I10" s="119"/>
      <c r="J10" s="120"/>
      <c r="K10" s="121"/>
      <c r="L10" s="122"/>
      <c r="N10" s="118"/>
      <c r="O10" s="119"/>
      <c r="P10" s="120"/>
      <c r="Q10" s="121"/>
      <c r="R10" s="122"/>
      <c r="T10" s="118"/>
      <c r="U10" s="119"/>
      <c r="V10" s="120"/>
      <c r="W10" s="121"/>
      <c r="X10" s="122"/>
      <c r="AA10" s="112" t="s">
        <v>103</v>
      </c>
    </row>
    <row r="11" spans="2:27" x14ac:dyDescent="0.25">
      <c r="B11" s="118"/>
      <c r="C11" s="119"/>
      <c r="D11" s="120"/>
      <c r="E11" s="121"/>
      <c r="F11" s="122"/>
      <c r="H11" s="118"/>
      <c r="I11" s="119"/>
      <c r="J11" s="120"/>
      <c r="K11" s="121"/>
      <c r="L11" s="122"/>
      <c r="N11" s="118"/>
      <c r="O11" s="119"/>
      <c r="P11" s="120"/>
      <c r="Q11" s="121"/>
      <c r="R11" s="122"/>
      <c r="T11" s="118"/>
      <c r="U11" s="119"/>
      <c r="V11" s="120"/>
      <c r="W11" s="121"/>
      <c r="X11" s="122"/>
      <c r="AA11" s="112" t="s">
        <v>104</v>
      </c>
    </row>
    <row r="12" spans="2:27" x14ac:dyDescent="0.25">
      <c r="B12" s="118"/>
      <c r="C12" s="119"/>
      <c r="D12" s="120"/>
      <c r="E12" s="121"/>
      <c r="F12" s="122"/>
      <c r="H12" s="118"/>
      <c r="I12" s="119"/>
      <c r="J12" s="120"/>
      <c r="K12" s="121"/>
      <c r="L12" s="122"/>
      <c r="N12" s="118"/>
      <c r="O12" s="119"/>
      <c r="P12" s="120"/>
      <c r="Q12" s="121"/>
      <c r="R12" s="122"/>
      <c r="T12" s="118"/>
      <c r="U12" s="119"/>
      <c r="V12" s="120"/>
      <c r="W12" s="121"/>
      <c r="X12" s="122"/>
      <c r="AA12" s="112" t="s">
        <v>105</v>
      </c>
    </row>
    <row r="13" spans="2:27" x14ac:dyDescent="0.25">
      <c r="B13" s="118"/>
      <c r="C13" s="119"/>
      <c r="D13" s="120"/>
      <c r="E13" s="121"/>
      <c r="F13" s="122"/>
      <c r="H13" s="118"/>
      <c r="I13" s="119"/>
      <c r="J13" s="120"/>
      <c r="K13" s="121"/>
      <c r="L13" s="122"/>
      <c r="N13" s="118"/>
      <c r="O13" s="119"/>
      <c r="P13" s="120"/>
      <c r="Q13" s="121"/>
      <c r="R13" s="122"/>
      <c r="T13" s="118"/>
      <c r="U13" s="119"/>
      <c r="V13" s="120"/>
      <c r="W13" s="121"/>
      <c r="X13" s="122"/>
      <c r="AA13" s="112" t="s">
        <v>106</v>
      </c>
    </row>
    <row r="14" ht="15.75" customHeight="1" spans="2:27" x14ac:dyDescent="0.25">
      <c r="B14" s="123"/>
      <c r="C14" s="124"/>
      <c r="D14" s="125"/>
      <c r="E14" s="126"/>
      <c r="F14" s="127"/>
      <c r="H14" s="123"/>
      <c r="I14" s="124"/>
      <c r="J14" s="125"/>
      <c r="K14" s="126"/>
      <c r="L14" s="127"/>
      <c r="N14" s="123"/>
      <c r="O14" s="124"/>
      <c r="P14" s="125"/>
      <c r="Q14" s="126"/>
      <c r="R14" s="127"/>
      <c r="T14" s="123"/>
      <c r="U14" s="124"/>
      <c r="V14" s="125"/>
      <c r="W14" s="126"/>
      <c r="X14" s="127"/>
      <c r="AA14" s="112" t="s">
        <v>107</v>
      </c>
    </row>
    <row r="15" ht="15.75" customHeight="1" spans="2:27" x14ac:dyDescent="0.25">
      <c r="B15" s="128" t="s">
        <v>56</v>
      </c>
      <c r="C15" s="129">
        <f>SUM(C8:C14)</f>
        <v>0</v>
      </c>
      <c r="H15" s="128" t="s">
        <v>56</v>
      </c>
      <c r="I15" s="129">
        <f>SUM(I8:I14)</f>
        <v>0</v>
      </c>
      <c r="N15" s="128" t="s">
        <v>56</v>
      </c>
      <c r="O15" s="129">
        <f>SUM(O8:O14)</f>
        <v>0</v>
      </c>
      <c r="T15" s="128" t="s">
        <v>56</v>
      </c>
      <c r="U15" s="129">
        <f>SUM(U8:U14)</f>
        <v>0</v>
      </c>
      <c r="AA15" s="112" t="s">
        <v>108</v>
      </c>
    </row>
    <row r="16" spans="27:27" x14ac:dyDescent="0.25">
      <c r="AA16" s="112" t="s">
        <v>109</v>
      </c>
    </row>
    <row r="17" ht="15.75" customHeight="1" spans="27:27" x14ac:dyDescent="0.25">
      <c r="AA17" s="112"/>
    </row>
    <row r="18" ht="15.75" customHeight="1" spans="2:27" x14ac:dyDescent="0.25">
      <c r="B18" s="101" t="s">
        <v>89</v>
      </c>
      <c r="C18" s="102"/>
      <c r="D18" s="103">
        <f>SUM(V5)</f>
        <v>46077</v>
      </c>
      <c r="H18" s="101" t="s">
        <v>89</v>
      </c>
      <c r="I18" s="102"/>
      <c r="J18" s="103">
        <f>SUM(D18)</f>
        <v>46077</v>
      </c>
      <c r="N18" s="101" t="s">
        <v>89</v>
      </c>
      <c r="O18" s="102"/>
      <c r="P18" s="103">
        <f>SUM(J18)</f>
        <v>46077</v>
      </c>
      <c r="T18" s="101" t="s">
        <v>89</v>
      </c>
      <c r="U18" s="102"/>
      <c r="V18" s="103">
        <f>SUM(P18)</f>
        <v>46077</v>
      </c>
      <c r="AA18" s="130"/>
    </row>
    <row r="19" ht="15.75" customHeight="1" spans="2:22" x14ac:dyDescent="0.25">
      <c r="B19" s="104" t="s">
        <v>110</v>
      </c>
      <c r="C19" s="105" t="s">
        <v>11</v>
      </c>
      <c r="D19" s="106" t="s">
        <v>8</v>
      </c>
      <c r="H19" s="104" t="s">
        <v>111</v>
      </c>
      <c r="I19" s="105" t="s">
        <v>11</v>
      </c>
      <c r="J19" s="106" t="s">
        <v>8</v>
      </c>
      <c r="N19" s="104" t="s">
        <v>112</v>
      </c>
      <c r="O19" s="105" t="s">
        <v>11</v>
      </c>
      <c r="P19" s="106" t="s">
        <v>8</v>
      </c>
      <c r="T19" s="104" t="s">
        <v>113</v>
      </c>
      <c r="U19" s="105" t="s">
        <v>11</v>
      </c>
      <c r="V19" s="106" t="s">
        <v>8</v>
      </c>
    </row>
    <row r="20" ht="15.75" customHeight="1" spans="2:24" x14ac:dyDescent="0.25">
      <c r="B20" s="108" t="s">
        <v>95</v>
      </c>
      <c r="C20" s="109" t="s">
        <v>96</v>
      </c>
      <c r="D20" s="110" t="s">
        <v>97</v>
      </c>
      <c r="E20" s="109" t="s">
        <v>98</v>
      </c>
      <c r="F20" s="111" t="s">
        <v>99</v>
      </c>
      <c r="H20" s="108" t="s">
        <v>95</v>
      </c>
      <c r="I20" s="109" t="s">
        <v>96</v>
      </c>
      <c r="J20" s="110" t="s">
        <v>97</v>
      </c>
      <c r="K20" s="109" t="s">
        <v>98</v>
      </c>
      <c r="L20" s="111" t="s">
        <v>99</v>
      </c>
      <c r="N20" s="108" t="s">
        <v>95</v>
      </c>
      <c r="O20" s="109" t="s">
        <v>96</v>
      </c>
      <c r="P20" s="110" t="s">
        <v>97</v>
      </c>
      <c r="Q20" s="109" t="s">
        <v>98</v>
      </c>
      <c r="R20" s="111" t="s">
        <v>99</v>
      </c>
      <c r="T20" s="108" t="s">
        <v>95</v>
      </c>
      <c r="U20" s="109" t="s">
        <v>96</v>
      </c>
      <c r="V20" s="110" t="s">
        <v>97</v>
      </c>
      <c r="W20" s="109" t="s">
        <v>98</v>
      </c>
      <c r="X20" s="111" t="s">
        <v>99</v>
      </c>
    </row>
    <row r="21" spans="2:24" x14ac:dyDescent="0.25">
      <c r="B21" s="113"/>
      <c r="C21" s="114"/>
      <c r="D21" s="115"/>
      <c r="E21" s="116"/>
      <c r="F21" s="117"/>
      <c r="H21" s="113"/>
      <c r="I21" s="114"/>
      <c r="J21" s="115"/>
      <c r="K21" s="116"/>
      <c r="L21" s="117"/>
      <c r="N21" s="113"/>
      <c r="O21" s="114"/>
      <c r="P21" s="115"/>
      <c r="Q21" s="116"/>
      <c r="R21" s="117"/>
      <c r="T21" s="113"/>
      <c r="U21" s="114"/>
      <c r="V21" s="115"/>
      <c r="W21" s="116"/>
      <c r="X21" s="117"/>
    </row>
    <row r="22" spans="2:24" x14ac:dyDescent="0.25">
      <c r="B22" s="118"/>
      <c r="C22" s="119"/>
      <c r="D22" s="120"/>
      <c r="E22" s="121"/>
      <c r="F22" s="122"/>
      <c r="H22" s="118"/>
      <c r="I22" s="119"/>
      <c r="J22" s="120"/>
      <c r="K22" s="121"/>
      <c r="L22" s="122"/>
      <c r="N22" s="118"/>
      <c r="O22" s="119"/>
      <c r="P22" s="120"/>
      <c r="Q22" s="121"/>
      <c r="R22" s="122"/>
      <c r="T22" s="118"/>
      <c r="U22" s="119"/>
      <c r="V22" s="120"/>
      <c r="W22" s="121"/>
      <c r="X22" s="122"/>
    </row>
    <row r="23" spans="2:24" x14ac:dyDescent="0.25">
      <c r="B23" s="118"/>
      <c r="C23" s="119"/>
      <c r="D23" s="120"/>
      <c r="E23" s="121"/>
      <c r="F23" s="122"/>
      <c r="H23" s="118"/>
      <c r="I23" s="119"/>
      <c r="J23" s="120"/>
      <c r="K23" s="121"/>
      <c r="L23" s="122"/>
      <c r="N23" s="118"/>
      <c r="O23" s="119"/>
      <c r="P23" s="120"/>
      <c r="Q23" s="121"/>
      <c r="R23" s="122"/>
      <c r="T23" s="118"/>
      <c r="U23" s="119"/>
      <c r="V23" s="120"/>
      <c r="W23" s="121"/>
      <c r="X23" s="122"/>
    </row>
    <row r="24" spans="2:24" x14ac:dyDescent="0.25">
      <c r="B24" s="118"/>
      <c r="C24" s="119"/>
      <c r="D24" s="120"/>
      <c r="E24" s="121"/>
      <c r="F24" s="122"/>
      <c r="H24" s="118"/>
      <c r="I24" s="119"/>
      <c r="J24" s="120"/>
      <c r="K24" s="121"/>
      <c r="L24" s="122"/>
      <c r="N24" s="118"/>
      <c r="O24" s="119"/>
      <c r="P24" s="120"/>
      <c r="Q24" s="121"/>
      <c r="R24" s="122"/>
      <c r="T24" s="118"/>
      <c r="U24" s="119"/>
      <c r="V24" s="120"/>
      <c r="W24" s="121"/>
      <c r="X24" s="122"/>
    </row>
    <row r="25" spans="2:24" x14ac:dyDescent="0.25">
      <c r="B25" s="118"/>
      <c r="C25" s="119"/>
      <c r="D25" s="120"/>
      <c r="E25" s="121"/>
      <c r="F25" s="122"/>
      <c r="H25" s="118"/>
      <c r="I25" s="119"/>
      <c r="J25" s="120"/>
      <c r="K25" s="121"/>
      <c r="L25" s="122"/>
      <c r="N25" s="118"/>
      <c r="O25" s="119"/>
      <c r="P25" s="120"/>
      <c r="Q25" s="121"/>
      <c r="R25" s="122"/>
      <c r="T25" s="118"/>
      <c r="U25" s="119"/>
      <c r="V25" s="120"/>
      <c r="W25" s="121"/>
      <c r="X25" s="122"/>
    </row>
    <row r="26" spans="2:24" x14ac:dyDescent="0.25">
      <c r="B26" s="118"/>
      <c r="C26" s="119"/>
      <c r="D26" s="120"/>
      <c r="E26" s="121"/>
      <c r="F26" s="122"/>
      <c r="H26" s="118"/>
      <c r="I26" s="119"/>
      <c r="J26" s="120"/>
      <c r="K26" s="121"/>
      <c r="L26" s="122"/>
      <c r="N26" s="118"/>
      <c r="O26" s="119"/>
      <c r="P26" s="120"/>
      <c r="Q26" s="121"/>
      <c r="R26" s="122"/>
      <c r="T26" s="118"/>
      <c r="U26" s="119"/>
      <c r="V26" s="120"/>
      <c r="W26" s="121"/>
      <c r="X26" s="122"/>
    </row>
    <row r="27" ht="15.75" customHeight="1" spans="2:24" x14ac:dyDescent="0.25">
      <c r="B27" s="123"/>
      <c r="C27" s="124"/>
      <c r="D27" s="125"/>
      <c r="E27" s="126"/>
      <c r="F27" s="127"/>
      <c r="H27" s="123"/>
      <c r="I27" s="124"/>
      <c r="J27" s="125"/>
      <c r="K27" s="126"/>
      <c r="L27" s="127"/>
      <c r="N27" s="123"/>
      <c r="O27" s="124"/>
      <c r="P27" s="125"/>
      <c r="Q27" s="126"/>
      <c r="R27" s="127"/>
      <c r="T27" s="123"/>
      <c r="U27" s="124"/>
      <c r="V27" s="125"/>
      <c r="W27" s="126"/>
      <c r="X27" s="127"/>
    </row>
    <row r="28" ht="15.75" customHeight="1" spans="2:21" x14ac:dyDescent="0.25">
      <c r="B28" s="128" t="s">
        <v>56</v>
      </c>
      <c r="C28" s="129">
        <f>SUM(C21:C27)</f>
        <v>0</v>
      </c>
      <c r="H28" s="128" t="s">
        <v>56</v>
      </c>
      <c r="I28" s="129">
        <f>SUM(I21:I27)</f>
        <v>0</v>
      </c>
      <c r="N28" s="128" t="s">
        <v>56</v>
      </c>
      <c r="O28" s="129">
        <f>SUM(O21:O27)</f>
        <v>0</v>
      </c>
      <c r="T28" s="128" t="s">
        <v>56</v>
      </c>
      <c r="U28" s="129">
        <f>SUM(U21:U27)</f>
        <v>0</v>
      </c>
    </row>
    <row r="30" ht="15.75" customHeight="1" x14ac:dyDescent="0.25"/>
    <row r="31" ht="15.75" customHeight="1" spans="2:22" x14ac:dyDescent="0.25">
      <c r="B31" s="101" t="s">
        <v>89</v>
      </c>
      <c r="C31" s="102"/>
      <c r="D31" s="103"/>
      <c r="H31" s="101" t="s">
        <v>89</v>
      </c>
      <c r="I31" s="102"/>
      <c r="J31" s="103"/>
      <c r="N31" s="101" t="s">
        <v>89</v>
      </c>
      <c r="O31" s="102"/>
      <c r="P31" s="103"/>
      <c r="T31" s="101" t="s">
        <v>89</v>
      </c>
      <c r="U31" s="102"/>
      <c r="V31" s="103"/>
    </row>
    <row r="32" ht="15.75" customHeight="1" spans="2:22" x14ac:dyDescent="0.25">
      <c r="B32" s="104" t="s">
        <v>114</v>
      </c>
      <c r="C32" s="105" t="s">
        <v>11</v>
      </c>
      <c r="D32" s="106"/>
      <c r="H32" s="104" t="s">
        <v>115</v>
      </c>
      <c r="I32" s="105" t="s">
        <v>11</v>
      </c>
      <c r="J32" s="106"/>
      <c r="N32" s="104" t="s">
        <v>116</v>
      </c>
      <c r="O32" s="105" t="s">
        <v>11</v>
      </c>
      <c r="P32" s="106"/>
      <c r="T32" s="104" t="s">
        <v>117</v>
      </c>
      <c r="U32" s="105" t="s">
        <v>11</v>
      </c>
      <c r="V32" s="106"/>
    </row>
    <row r="33" ht="15.75" customHeight="1" spans="2:24" x14ac:dyDescent="0.25">
      <c r="B33" s="108" t="s">
        <v>95</v>
      </c>
      <c r="C33" s="109" t="s">
        <v>96</v>
      </c>
      <c r="D33" s="110" t="s">
        <v>97</v>
      </c>
      <c r="E33" s="109" t="s">
        <v>98</v>
      </c>
      <c r="F33" s="111" t="s">
        <v>99</v>
      </c>
      <c r="H33" s="108" t="s">
        <v>95</v>
      </c>
      <c r="I33" s="109" t="s">
        <v>96</v>
      </c>
      <c r="J33" s="110" t="s">
        <v>97</v>
      </c>
      <c r="K33" s="109" t="s">
        <v>98</v>
      </c>
      <c r="L33" s="111" t="s">
        <v>99</v>
      </c>
      <c r="N33" s="108" t="s">
        <v>95</v>
      </c>
      <c r="O33" s="109" t="s">
        <v>96</v>
      </c>
      <c r="P33" s="110" t="s">
        <v>97</v>
      </c>
      <c r="Q33" s="109" t="s">
        <v>98</v>
      </c>
      <c r="R33" s="111" t="s">
        <v>99</v>
      </c>
      <c r="T33" s="108" t="s">
        <v>95</v>
      </c>
      <c r="U33" s="109" t="s">
        <v>96</v>
      </c>
      <c r="V33" s="110" t="s">
        <v>97</v>
      </c>
      <c r="W33" s="109" t="s">
        <v>98</v>
      </c>
      <c r="X33" s="111" t="s">
        <v>99</v>
      </c>
    </row>
    <row r="34" spans="2:24" x14ac:dyDescent="0.25">
      <c r="B34" s="113"/>
      <c r="C34" s="114"/>
      <c r="D34" s="115"/>
      <c r="E34" s="116"/>
      <c r="F34" s="117"/>
      <c r="H34" s="113"/>
      <c r="I34" s="114"/>
      <c r="J34" s="115"/>
      <c r="K34" s="116"/>
      <c r="L34" s="117"/>
      <c r="N34" s="113"/>
      <c r="O34" s="114"/>
      <c r="P34" s="115"/>
      <c r="Q34" s="116"/>
      <c r="R34" s="117"/>
      <c r="T34" s="113"/>
      <c r="U34" s="114"/>
      <c r="V34" s="115"/>
      <c r="W34" s="116"/>
      <c r="X34" s="117"/>
    </row>
    <row r="35" spans="2:24" x14ac:dyDescent="0.25">
      <c r="B35" s="118"/>
      <c r="C35" s="119"/>
      <c r="D35" s="120"/>
      <c r="E35" s="121"/>
      <c r="F35" s="122"/>
      <c r="H35" s="118"/>
      <c r="I35" s="119"/>
      <c r="J35" s="120"/>
      <c r="K35" s="121"/>
      <c r="L35" s="122"/>
      <c r="N35" s="118"/>
      <c r="O35" s="119"/>
      <c r="P35" s="120"/>
      <c r="Q35" s="121"/>
      <c r="R35" s="122"/>
      <c r="T35" s="118"/>
      <c r="U35" s="119"/>
      <c r="V35" s="120"/>
      <c r="W35" s="121"/>
      <c r="X35" s="122"/>
    </row>
    <row r="36" spans="2:24" x14ac:dyDescent="0.25">
      <c r="B36" s="118"/>
      <c r="C36" s="119"/>
      <c r="D36" s="120"/>
      <c r="E36" s="121"/>
      <c r="F36" s="122"/>
      <c r="H36" s="118"/>
      <c r="I36" s="119"/>
      <c r="J36" s="120"/>
      <c r="K36" s="121"/>
      <c r="L36" s="122"/>
      <c r="N36" s="118"/>
      <c r="O36" s="119"/>
      <c r="P36" s="120"/>
      <c r="Q36" s="121"/>
      <c r="R36" s="122"/>
      <c r="T36" s="118"/>
      <c r="U36" s="119"/>
      <c r="V36" s="120"/>
      <c r="W36" s="121"/>
      <c r="X36" s="122"/>
    </row>
    <row r="37" spans="2:24" x14ac:dyDescent="0.25">
      <c r="B37" s="118"/>
      <c r="C37" s="119"/>
      <c r="D37" s="120"/>
      <c r="E37" s="121"/>
      <c r="F37" s="122"/>
      <c r="H37" s="118"/>
      <c r="I37" s="119"/>
      <c r="J37" s="120"/>
      <c r="K37" s="121"/>
      <c r="L37" s="122"/>
      <c r="N37" s="118"/>
      <c r="O37" s="119"/>
      <c r="P37" s="120"/>
      <c r="Q37" s="121"/>
      <c r="R37" s="122"/>
      <c r="T37" s="118"/>
      <c r="U37" s="119"/>
      <c r="V37" s="120"/>
      <c r="W37" s="121"/>
      <c r="X37" s="122"/>
    </row>
    <row r="38" spans="2:24" x14ac:dyDescent="0.25">
      <c r="B38" s="118"/>
      <c r="C38" s="119"/>
      <c r="D38" s="120"/>
      <c r="E38" s="121"/>
      <c r="F38" s="122"/>
      <c r="H38" s="118"/>
      <c r="I38" s="119"/>
      <c r="J38" s="120"/>
      <c r="K38" s="121"/>
      <c r="L38" s="122"/>
      <c r="N38" s="118"/>
      <c r="O38" s="119"/>
      <c r="P38" s="120"/>
      <c r="Q38" s="121"/>
      <c r="R38" s="122"/>
      <c r="T38" s="118"/>
      <c r="U38" s="119"/>
      <c r="V38" s="120"/>
      <c r="W38" s="121"/>
      <c r="X38" s="122"/>
    </row>
    <row r="39" spans="2:24" x14ac:dyDescent="0.25">
      <c r="B39" s="118"/>
      <c r="C39" s="119"/>
      <c r="D39" s="120"/>
      <c r="E39" s="121"/>
      <c r="F39" s="122"/>
      <c r="H39" s="118"/>
      <c r="I39" s="119"/>
      <c r="J39" s="120"/>
      <c r="K39" s="121"/>
      <c r="L39" s="122"/>
      <c r="N39" s="118"/>
      <c r="O39" s="119"/>
      <c r="P39" s="120"/>
      <c r="Q39" s="121"/>
      <c r="R39" s="122"/>
      <c r="T39" s="118"/>
      <c r="U39" s="119"/>
      <c r="V39" s="120"/>
      <c r="W39" s="121"/>
      <c r="X39" s="122"/>
    </row>
    <row r="40" ht="15.75" customHeight="1" spans="2:24" x14ac:dyDescent="0.25">
      <c r="B40" s="123"/>
      <c r="C40" s="124"/>
      <c r="D40" s="125"/>
      <c r="E40" s="126"/>
      <c r="F40" s="127"/>
      <c r="H40" s="123"/>
      <c r="I40" s="124"/>
      <c r="J40" s="125"/>
      <c r="K40" s="126"/>
      <c r="L40" s="127"/>
      <c r="N40" s="123"/>
      <c r="O40" s="124"/>
      <c r="P40" s="125"/>
      <c r="Q40" s="126"/>
      <c r="R40" s="127"/>
      <c r="T40" s="123"/>
      <c r="U40" s="124"/>
      <c r="V40" s="125"/>
      <c r="W40" s="126"/>
      <c r="X40" s="127"/>
    </row>
    <row r="41" ht="15.75" customHeight="1" spans="2:21" x14ac:dyDescent="0.25">
      <c r="B41" s="128" t="s">
        <v>56</v>
      </c>
      <c r="C41" s="129">
        <f>SUM(C34:C40)</f>
        <v>0</v>
      </c>
      <c r="H41" s="128" t="s">
        <v>56</v>
      </c>
      <c r="I41" s="129">
        <f>SUM(I34:I40)</f>
        <v>0</v>
      </c>
      <c r="N41" s="128" t="s">
        <v>56</v>
      </c>
      <c r="O41" s="129">
        <f>SUM(O34:O40)</f>
        <v>0</v>
      </c>
      <c r="T41" s="128" t="s">
        <v>56</v>
      </c>
      <c r="U41" s="129">
        <f>SUM(U34:U40)</f>
        <v>0</v>
      </c>
    </row>
    <row r="42" spans="3:21" x14ac:dyDescent="0.25">
      <c r="C42" s="131"/>
      <c r="I42" s="131"/>
      <c r="O42" s="131"/>
      <c r="U42" s="131"/>
    </row>
    <row r="43" ht="15.75" customHeight="1" spans="3:21" x14ac:dyDescent="0.25">
      <c r="C43" s="131"/>
      <c r="I43" s="131"/>
      <c r="O43" s="131"/>
      <c r="U43" s="131"/>
    </row>
    <row r="44" ht="15.75" customHeight="1" spans="2:16" x14ac:dyDescent="0.25">
      <c r="B44" s="101" t="s">
        <v>89</v>
      </c>
      <c r="C44" s="102"/>
      <c r="D44" s="103"/>
      <c r="H44" s="101" t="s">
        <v>89</v>
      </c>
      <c r="I44" s="102"/>
      <c r="J44" s="103"/>
      <c r="N44" s="101" t="s">
        <v>89</v>
      </c>
      <c r="O44" s="102"/>
      <c r="P44" s="103"/>
    </row>
    <row r="45" ht="15.75" customHeight="1" spans="2:16" x14ac:dyDescent="0.25">
      <c r="B45" s="104" t="s">
        <v>118</v>
      </c>
      <c r="C45" s="105" t="s">
        <v>11</v>
      </c>
      <c r="D45" s="106"/>
      <c r="H45" s="104" t="s">
        <v>119</v>
      </c>
      <c r="I45" s="105" t="s">
        <v>11</v>
      </c>
      <c r="J45" s="106"/>
      <c r="N45" s="104" t="s">
        <v>120</v>
      </c>
      <c r="O45" s="105" t="s">
        <v>11</v>
      </c>
      <c r="P45" s="106"/>
    </row>
    <row r="46" ht="15.75" customHeight="1" spans="2:18" x14ac:dyDescent="0.25">
      <c r="B46" s="108" t="s">
        <v>95</v>
      </c>
      <c r="C46" s="109" t="s">
        <v>96</v>
      </c>
      <c r="D46" s="110" t="s">
        <v>97</v>
      </c>
      <c r="E46" s="109" t="s">
        <v>98</v>
      </c>
      <c r="F46" s="111" t="s">
        <v>99</v>
      </c>
      <c r="H46" s="108" t="s">
        <v>95</v>
      </c>
      <c r="I46" s="109" t="s">
        <v>96</v>
      </c>
      <c r="J46" s="110" t="s">
        <v>97</v>
      </c>
      <c r="K46" s="109" t="s">
        <v>98</v>
      </c>
      <c r="L46" s="111" t="s">
        <v>99</v>
      </c>
      <c r="N46" s="108" t="s">
        <v>95</v>
      </c>
      <c r="O46" s="109" t="s">
        <v>96</v>
      </c>
      <c r="P46" s="110" t="s">
        <v>97</v>
      </c>
      <c r="Q46" s="109" t="s">
        <v>98</v>
      </c>
      <c r="R46" s="111" t="s">
        <v>99</v>
      </c>
    </row>
    <row r="47" spans="2:18" x14ac:dyDescent="0.25">
      <c r="B47" s="113"/>
      <c r="C47" s="114"/>
      <c r="D47" s="115"/>
      <c r="E47" s="116"/>
      <c r="F47" s="117"/>
      <c r="H47" s="113"/>
      <c r="I47" s="114"/>
      <c r="J47" s="115"/>
      <c r="K47" s="116"/>
      <c r="L47" s="117"/>
      <c r="N47" s="113"/>
      <c r="O47" s="114"/>
      <c r="P47" s="115"/>
      <c r="Q47" s="116"/>
      <c r="R47" s="117"/>
    </row>
    <row r="48" spans="2:18" x14ac:dyDescent="0.25">
      <c r="B48" s="118"/>
      <c r="C48" s="119"/>
      <c r="D48" s="120"/>
      <c r="E48" s="121"/>
      <c r="F48" s="122"/>
      <c r="H48" s="118"/>
      <c r="I48" s="119"/>
      <c r="J48" s="120"/>
      <c r="K48" s="121"/>
      <c r="L48" s="122"/>
      <c r="N48" s="118"/>
      <c r="O48" s="119"/>
      <c r="P48" s="120"/>
      <c r="Q48" s="121"/>
      <c r="R48" s="122"/>
    </row>
    <row r="49" spans="2:18" x14ac:dyDescent="0.25">
      <c r="B49" s="118"/>
      <c r="C49" s="119"/>
      <c r="D49" s="120"/>
      <c r="E49" s="121"/>
      <c r="F49" s="122"/>
      <c r="H49" s="118"/>
      <c r="I49" s="119"/>
      <c r="J49" s="120"/>
      <c r="K49" s="121"/>
      <c r="L49" s="122"/>
      <c r="N49" s="118"/>
      <c r="O49" s="119"/>
      <c r="P49" s="120"/>
      <c r="Q49" s="121"/>
      <c r="R49" s="122"/>
    </row>
    <row r="50" spans="2:18" x14ac:dyDescent="0.25">
      <c r="B50" s="118"/>
      <c r="C50" s="119"/>
      <c r="D50" s="120"/>
      <c r="E50" s="121"/>
      <c r="F50" s="122"/>
      <c r="H50" s="118"/>
      <c r="I50" s="119"/>
      <c r="J50" s="120"/>
      <c r="K50" s="121"/>
      <c r="L50" s="122"/>
      <c r="N50" s="118"/>
      <c r="O50" s="119"/>
      <c r="P50" s="120"/>
      <c r="Q50" s="121"/>
      <c r="R50" s="122"/>
    </row>
    <row r="51" spans="2:18" x14ac:dyDescent="0.25">
      <c r="B51" s="118"/>
      <c r="C51" s="119"/>
      <c r="D51" s="120"/>
      <c r="E51" s="121"/>
      <c r="F51" s="122"/>
      <c r="H51" s="118"/>
      <c r="I51" s="119"/>
      <c r="J51" s="120"/>
      <c r="K51" s="121"/>
      <c r="L51" s="122"/>
      <c r="N51" s="118"/>
      <c r="O51" s="119"/>
      <c r="P51" s="120"/>
      <c r="Q51" s="121"/>
      <c r="R51" s="122"/>
    </row>
    <row r="52" spans="2:18" x14ac:dyDescent="0.25">
      <c r="B52" s="118"/>
      <c r="C52" s="119"/>
      <c r="D52" s="120"/>
      <c r="E52" s="121"/>
      <c r="F52" s="122"/>
      <c r="H52" s="118"/>
      <c r="I52" s="119"/>
      <c r="J52" s="120"/>
      <c r="K52" s="121"/>
      <c r="L52" s="122"/>
      <c r="N52" s="118"/>
      <c r="O52" s="119"/>
      <c r="P52" s="120"/>
      <c r="Q52" s="121"/>
      <c r="R52" s="122"/>
    </row>
    <row r="53" ht="15.75" customHeight="1" spans="2:18" x14ac:dyDescent="0.25">
      <c r="B53" s="123"/>
      <c r="C53" s="124"/>
      <c r="D53" s="125"/>
      <c r="E53" s="126"/>
      <c r="F53" s="127"/>
      <c r="H53" s="123"/>
      <c r="I53" s="124"/>
      <c r="J53" s="125"/>
      <c r="K53" s="126"/>
      <c r="L53" s="127"/>
      <c r="N53" s="123"/>
      <c r="O53" s="124"/>
      <c r="P53" s="125"/>
      <c r="Q53" s="126"/>
      <c r="R53" s="127"/>
    </row>
    <row r="54" ht="15.75" customHeight="1" spans="2:15" x14ac:dyDescent="0.25">
      <c r="B54" s="128" t="s">
        <v>56</v>
      </c>
      <c r="C54" s="129">
        <f>SUM(C47:C53)</f>
        <v>0</v>
      </c>
      <c r="H54" s="128" t="s">
        <v>56</v>
      </c>
      <c r="I54" s="129">
        <f>SUM(I47:I53)</f>
        <v>0</v>
      </c>
      <c r="N54" s="128" t="s">
        <v>56</v>
      </c>
      <c r="O54" s="129">
        <f>SUM(O47:O53)</f>
        <v>0</v>
      </c>
    </row>
  </sheetData>
  <sheetProtection sheet="1" objects="1" scenarios="1"/>
  <mergeCells count="16">
    <mergeCell ref="C2:D2"/>
    <mergeCell ref="B5:C5"/>
    <mergeCell ref="H5:I5"/>
    <mergeCell ref="N5:O5"/>
    <mergeCell ref="T5:U5"/>
    <mergeCell ref="B18:C18"/>
    <mergeCell ref="H18:I18"/>
    <mergeCell ref="N18:O18"/>
    <mergeCell ref="T18:U18"/>
    <mergeCell ref="B31:C31"/>
    <mergeCell ref="H31:I31"/>
    <mergeCell ref="N31:O31"/>
    <mergeCell ref="T31:U31"/>
    <mergeCell ref="B44:C44"/>
    <mergeCell ref="H44:I44"/>
    <mergeCell ref="N44:O44"/>
  </mergeCells>
  <dataValidations count="19">
    <dataValidation type="list" allowBlank="1" showInputMessage="1" showErrorMessage="1" sqref="F10:F14">
      <formula1>$AA$7:$AA$18</formula1>
    </dataValidation>
    <dataValidation type="list" allowBlank="1" showInputMessage="1" showErrorMessage="1" sqref="F21:F27">
      <formula1>$AA$7:$AA$18</formula1>
    </dataValidation>
    <dataValidation type="list" allowBlank="1" showInputMessage="1" showErrorMessage="1" sqref="F34:F40">
      <formula1>$AA$7:$AA$18</formula1>
    </dataValidation>
    <dataValidation type="list" allowBlank="1" showInputMessage="1" showErrorMessage="1" sqref="F47:F53">
      <formula1>$AA$7:$AA$18</formula1>
    </dataValidation>
    <dataValidation type="list" allowBlank="1" showInputMessage="1" showErrorMessage="1" sqref="F8:F14">
      <formula1>$AA$7:$AA$18</formula1>
    </dataValidation>
    <dataValidation type="list" allowBlank="1" showInputMessage="1" showErrorMessage="1" sqref="L10:L14">
      <formula1>$AA$7:$AA$18</formula1>
    </dataValidation>
    <dataValidation type="list" allowBlank="1" showInputMessage="1" showErrorMessage="1" sqref="L21:L27">
      <formula1>$AA$7:$AA$18</formula1>
    </dataValidation>
    <dataValidation type="list" allowBlank="1" showInputMessage="1" showErrorMessage="1" sqref="L34:L40">
      <formula1>$AA$7:$AA$18</formula1>
    </dataValidation>
    <dataValidation type="list" allowBlank="1" showInputMessage="1" showErrorMessage="1" sqref="L47:L53">
      <formula1>$AA$7:$AA$18</formula1>
    </dataValidation>
    <dataValidation type="list" allowBlank="1" showInputMessage="1" showErrorMessage="1" sqref="L8:L14">
      <formula1>$AA$7:$AA$18</formula1>
    </dataValidation>
    <dataValidation type="list" allowBlank="1" showInputMessage="1" showErrorMessage="1" sqref="R10:R14">
      <formula1>$AA$7:$AA$18</formula1>
    </dataValidation>
    <dataValidation type="list" allowBlank="1" showInputMessage="1" showErrorMessage="1" sqref="R21:R27">
      <formula1>$AA$7:$AA$18</formula1>
    </dataValidation>
    <dataValidation type="list" allowBlank="1" showInputMessage="1" showErrorMessage="1" sqref="R34:R40">
      <formula1>$AA$7:$AA$18</formula1>
    </dataValidation>
    <dataValidation type="list" allowBlank="1" showInputMessage="1" showErrorMessage="1" sqref="R47:R53">
      <formula1>$AA$7:$AA$18</formula1>
    </dataValidation>
    <dataValidation type="list" allowBlank="1" showInputMessage="1" showErrorMessage="1" sqref="R8:R14">
      <formula1>$AA$7:$AA$18</formula1>
    </dataValidation>
    <dataValidation type="list" allowBlank="1" showInputMessage="1" showErrorMessage="1" sqref="X10:X14">
      <formula1>$AA$7:$AA$18</formula1>
    </dataValidation>
    <dataValidation type="list" allowBlank="1" showInputMessage="1" showErrorMessage="1" sqref="X21:X27">
      <formula1>$AA$7:$AA$18</formula1>
    </dataValidation>
    <dataValidation type="list" allowBlank="1" showInputMessage="1" showErrorMessage="1" sqref="X34:X40">
      <formula1>$AA$7:$AA$18</formula1>
    </dataValidation>
    <dataValidation type="list" allowBlank="1" showInputMessage="1" showErrorMessage="1" sqref="X8:X14">
      <formula1>$AA$7:$AA$18</formula1>
    </dataValidation>
  </dataValidation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workbookViewId="0" zoomScale="80" zoomScaleNormal="80">
      <selection activeCell="L15" sqref="L15"/>
    </sheetView>
  </sheetViews>
  <sheetFormatPr defaultRowHeight="15" outlineLevelRow="0" outlineLevelCol="0" x14ac:dyDescent="0.25" defaultColWidth="9.140625"/>
  <cols>
    <col min="1" max="1" width="3.5703125" style="96" customWidth="1"/>
    <col min="2" max="2" width="9.140625" style="96" customWidth="1"/>
    <col min="3" max="3" width="7.85546875" style="96" customWidth="1"/>
    <col min="4" max="4" width="11.42578125" style="96" customWidth="1"/>
    <col min="5" max="5" width="10.7109375" style="96" customWidth="1"/>
    <col min="6" max="6" width="6.7109375" style="96" customWidth="1"/>
    <col min="7" max="7" width="8.85546875" style="96" customWidth="1"/>
    <col min="8" max="9" width="9.140625" style="96" customWidth="1"/>
    <col min="10" max="10" width="6.140625" style="96" customWidth="1"/>
    <col min="11" max="11" width="5.5703125" style="96" customWidth="1"/>
    <col min="12" max="25" width="9.140625" style="96" customWidth="1"/>
    <col min="26" max="26" width="4.28515625" style="96" customWidth="1"/>
    <col min="27" max="27" width="11.28515625" style="96" customWidth="1"/>
    <col min="28" max="34" width="16.85546875" style="96" customWidth="1"/>
    <col min="35" max="16384" width="9.140625" style="96" customWidth="1"/>
  </cols>
  <sheetData>
    <row r="1" spans="1:35" x14ac:dyDescent="0.2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3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5"/>
      <c r="Z1" s="133"/>
      <c r="AA1" s="134"/>
      <c r="AB1" s="134"/>
      <c r="AC1" s="134"/>
      <c r="AD1" s="134"/>
      <c r="AE1" s="134"/>
      <c r="AF1" s="134"/>
      <c r="AG1" s="134"/>
      <c r="AH1" s="134"/>
      <c r="AI1" s="135"/>
    </row>
    <row r="2" ht="26.25" customHeight="1" spans="1:35" x14ac:dyDescent="0.25">
      <c r="A2" s="136"/>
      <c r="B2" s="137" t="s">
        <v>128</v>
      </c>
      <c r="K2" s="136"/>
      <c r="L2" s="137" t="s">
        <v>129</v>
      </c>
      <c r="Y2" s="138"/>
      <c r="Z2" s="136"/>
      <c r="AA2" s="137" t="s">
        <v>130</v>
      </c>
      <c r="AI2" s="138"/>
    </row>
    <row r="3" ht="23.25" customHeight="1" spans="1:35" x14ac:dyDescent="0.25">
      <c r="A3" s="136"/>
      <c r="B3" s="139" t="s">
        <v>131</v>
      </c>
      <c r="C3" s="140"/>
      <c r="D3" s="140"/>
      <c r="K3" s="136"/>
      <c r="L3" s="141" t="s">
        <v>132</v>
      </c>
      <c r="Y3" s="138"/>
      <c r="Z3" s="136"/>
      <c r="AA3" s="139" t="s">
        <v>133</v>
      </c>
      <c r="AI3" s="138"/>
    </row>
    <row r="4" ht="21" customHeight="1" spans="1:35" x14ac:dyDescent="0.25">
      <c r="A4" s="136"/>
      <c r="B4" s="139" t="s">
        <v>134</v>
      </c>
      <c r="C4" s="140"/>
      <c r="D4" s="140"/>
      <c r="K4" s="136"/>
      <c r="L4" s="139" t="s">
        <v>135</v>
      </c>
      <c r="M4" s="140"/>
      <c r="Y4" s="138"/>
      <c r="Z4" s="136"/>
      <c r="AA4" s="139" t="s">
        <v>136</v>
      </c>
      <c r="AI4" s="138"/>
    </row>
    <row r="5" ht="21" customHeight="1" spans="1:35" x14ac:dyDescent="0.25">
      <c r="A5" s="136"/>
      <c r="B5" s="142" t="s">
        <v>137</v>
      </c>
      <c r="C5" s="140"/>
      <c r="D5" s="140"/>
      <c r="K5" s="136"/>
      <c r="L5" s="142" t="s">
        <v>138</v>
      </c>
      <c r="M5" s="140"/>
      <c r="Y5" s="138"/>
      <c r="Z5" s="136"/>
      <c r="AA5" s="139" t="s">
        <v>139</v>
      </c>
      <c r="AI5" s="138"/>
    </row>
    <row r="6" ht="21" customHeight="1" spans="1:35" x14ac:dyDescent="0.25">
      <c r="A6" s="136"/>
      <c r="B6" s="142" t="s">
        <v>140</v>
      </c>
      <c r="C6" s="140"/>
      <c r="D6" s="140"/>
      <c r="K6" s="136"/>
      <c r="L6" s="142" t="s">
        <v>141</v>
      </c>
      <c r="M6" s="140"/>
      <c r="Y6" s="138"/>
      <c r="Z6" s="136"/>
      <c r="AA6" s="139" t="s">
        <v>142</v>
      </c>
      <c r="AI6" s="138"/>
    </row>
    <row r="7" ht="21" customHeight="1" spans="1:35" x14ac:dyDescent="0.25">
      <c r="A7" s="136"/>
      <c r="B7" s="142" t="s">
        <v>143</v>
      </c>
      <c r="C7" s="140"/>
      <c r="D7" s="140"/>
      <c r="K7" s="136"/>
      <c r="L7" s="142" t="s">
        <v>144</v>
      </c>
      <c r="M7" s="140"/>
      <c r="Y7" s="138"/>
      <c r="Z7" s="136"/>
      <c r="AA7" s="139"/>
      <c r="AI7" s="138"/>
    </row>
    <row r="8" ht="21" customHeight="1" spans="1:35" x14ac:dyDescent="0.25">
      <c r="A8" s="136"/>
      <c r="B8" s="142" t="s">
        <v>145</v>
      </c>
      <c r="C8" s="140"/>
      <c r="D8" s="140"/>
      <c r="K8" s="136"/>
      <c r="L8" s="139" t="s">
        <v>146</v>
      </c>
      <c r="M8" s="140"/>
      <c r="Y8" s="138"/>
      <c r="Z8" s="136"/>
      <c r="AA8" s="143" t="s">
        <v>147</v>
      </c>
      <c r="AI8" s="138"/>
    </row>
    <row r="9" ht="21" customHeight="1" spans="1:35" x14ac:dyDescent="0.25">
      <c r="A9" s="136"/>
      <c r="B9" s="142" t="s">
        <v>148</v>
      </c>
      <c r="C9" s="140"/>
      <c r="D9" s="140"/>
      <c r="K9" s="136"/>
      <c r="L9" s="139" t="s">
        <v>149</v>
      </c>
      <c r="M9" s="140"/>
      <c r="Y9" s="138"/>
      <c r="Z9" s="136"/>
      <c r="AA9" s="142" t="s">
        <v>150</v>
      </c>
      <c r="AI9" s="138"/>
    </row>
    <row r="10" ht="21" customHeight="1" spans="1:35" x14ac:dyDescent="0.25">
      <c r="A10" s="136"/>
      <c r="B10" s="142" t="s">
        <v>151</v>
      </c>
      <c r="C10" s="140"/>
      <c r="D10" s="140"/>
      <c r="K10" s="136"/>
      <c r="Y10" s="138"/>
      <c r="Z10" s="136"/>
      <c r="AA10" s="142" t="s">
        <v>152</v>
      </c>
      <c r="AI10" s="138"/>
    </row>
    <row r="11" ht="23.25" customHeight="1" spans="1:35" x14ac:dyDescent="0.25">
      <c r="A11" s="136"/>
      <c r="B11" s="142" t="s">
        <v>153</v>
      </c>
      <c r="C11" s="140"/>
      <c r="D11" s="140"/>
      <c r="K11" s="136"/>
      <c r="L11" s="141" t="s">
        <v>154</v>
      </c>
      <c r="Y11" s="138"/>
      <c r="Z11" s="136"/>
      <c r="AA11" s="142" t="s">
        <v>155</v>
      </c>
      <c r="AI11" s="138"/>
    </row>
    <row r="12" ht="21" customHeight="1" spans="1:35" x14ac:dyDescent="0.25">
      <c r="A12" s="136"/>
      <c r="B12" s="139" t="s">
        <v>156</v>
      </c>
      <c r="K12" s="136"/>
      <c r="L12" s="139" t="s">
        <v>157</v>
      </c>
      <c r="Y12" s="138"/>
      <c r="Z12" s="136"/>
      <c r="AA12" s="142" t="s">
        <v>158</v>
      </c>
      <c r="AI12" s="138"/>
    </row>
    <row r="13" ht="21" customHeight="1" spans="1:35" x14ac:dyDescent="0.25">
      <c r="A13" s="136"/>
      <c r="B13" s="144"/>
      <c r="K13" s="136"/>
      <c r="L13" s="142" t="s">
        <v>159</v>
      </c>
      <c r="Y13" s="138"/>
      <c r="Z13" s="136"/>
      <c r="AA13" s="142" t="s">
        <v>160</v>
      </c>
      <c r="AI13" s="138"/>
    </row>
    <row r="14" ht="21" customHeight="1" spans="1:35" x14ac:dyDescent="0.25">
      <c r="A14" s="136"/>
      <c r="B14" s="144"/>
      <c r="K14" s="136"/>
      <c r="L14" s="142" t="s">
        <v>161</v>
      </c>
      <c r="Y14" s="138"/>
      <c r="Z14" s="136"/>
      <c r="AA14" s="142" t="s">
        <v>162</v>
      </c>
      <c r="AI14" s="138"/>
    </row>
    <row r="15" ht="21" customHeight="1" spans="1:35" x14ac:dyDescent="0.25">
      <c r="A15" s="136"/>
      <c r="B15" s="144"/>
      <c r="K15" s="136"/>
      <c r="L15" s="142" t="s">
        <v>163</v>
      </c>
      <c r="Y15" s="138"/>
      <c r="Z15" s="136"/>
      <c r="AA15" s="142"/>
      <c r="AI15" s="138"/>
    </row>
    <row r="16" ht="21" customHeight="1" spans="1:35" x14ac:dyDescent="0.25">
      <c r="A16" s="136"/>
      <c r="B16" s="144"/>
      <c r="K16" s="136"/>
      <c r="L16" s="142" t="s">
        <v>164</v>
      </c>
      <c r="Y16" s="138"/>
      <c r="Z16" s="136"/>
      <c r="AA16" s="139" t="s">
        <v>165</v>
      </c>
      <c r="AI16" s="138"/>
    </row>
    <row r="17" ht="23.25" customHeight="1" spans="1:35" x14ac:dyDescent="0.25">
      <c r="A17" s="136"/>
      <c r="B17" s="144"/>
      <c r="K17" s="136"/>
      <c r="L17" s="141"/>
      <c r="Y17" s="138"/>
      <c r="Z17" s="136"/>
      <c r="AA17" s="139"/>
      <c r="AI17" s="138"/>
    </row>
    <row r="18" ht="23.25" customHeight="1" spans="1:35" x14ac:dyDescent="0.25">
      <c r="A18" s="136"/>
      <c r="B18" s="144"/>
      <c r="K18" s="136"/>
      <c r="L18" s="141" t="s">
        <v>166</v>
      </c>
      <c r="Y18" s="138"/>
      <c r="Z18" s="136"/>
      <c r="AA18" s="143" t="s">
        <v>167</v>
      </c>
      <c r="AI18" s="138"/>
    </row>
    <row r="19" ht="21" customHeight="1" spans="1:35" x14ac:dyDescent="0.25">
      <c r="A19" s="136"/>
      <c r="B19" s="144"/>
      <c r="K19" s="136"/>
      <c r="L19" s="139" t="s">
        <v>157</v>
      </c>
      <c r="Y19" s="138"/>
      <c r="Z19" s="136"/>
      <c r="AA19" s="142" t="s">
        <v>168</v>
      </c>
      <c r="AI19" s="138"/>
    </row>
    <row r="20" ht="21" customHeight="1" spans="1:35" x14ac:dyDescent="0.25">
      <c r="A20" s="136"/>
      <c r="B20" s="144"/>
      <c r="K20" s="136"/>
      <c r="L20" s="142" t="s">
        <v>169</v>
      </c>
      <c r="M20" s="140"/>
      <c r="Y20" s="138"/>
      <c r="Z20" s="136"/>
      <c r="AA20" s="142" t="s">
        <v>170</v>
      </c>
      <c r="AI20" s="138"/>
    </row>
    <row r="21" ht="21" customHeight="1" spans="1:35" x14ac:dyDescent="0.25">
      <c r="A21" s="136"/>
      <c r="B21" s="144"/>
      <c r="K21" s="136"/>
      <c r="L21" s="142" t="s">
        <v>171</v>
      </c>
      <c r="M21" s="140"/>
      <c r="Y21" s="138"/>
      <c r="Z21" s="136"/>
      <c r="AA21" s="142" t="s">
        <v>172</v>
      </c>
      <c r="AI21" s="138"/>
    </row>
    <row r="22" ht="21" customHeight="1" spans="1:35" x14ac:dyDescent="0.25">
      <c r="A22" s="136"/>
      <c r="B22" s="144"/>
      <c r="K22" s="136"/>
      <c r="L22" s="142" t="s">
        <v>173</v>
      </c>
      <c r="M22" s="140"/>
      <c r="Y22" s="138"/>
      <c r="Z22" s="136"/>
      <c r="AA22" s="142" t="s">
        <v>174</v>
      </c>
      <c r="AI22" s="138"/>
    </row>
    <row r="23" ht="21.75" customHeight="1" spans="1:35" x14ac:dyDescent="0.25">
      <c r="A23" s="145"/>
      <c r="B23" s="146"/>
      <c r="C23" s="147"/>
      <c r="D23" s="147"/>
      <c r="E23" s="147"/>
      <c r="F23" s="147"/>
      <c r="G23" s="147"/>
      <c r="H23" s="147"/>
      <c r="I23" s="147"/>
      <c r="J23" s="147"/>
      <c r="K23" s="136"/>
      <c r="L23" s="142" t="s">
        <v>175</v>
      </c>
      <c r="M23" s="140"/>
      <c r="Y23" s="138"/>
      <c r="Z23" s="136"/>
      <c r="AI23" s="138"/>
    </row>
    <row r="24" ht="21" customHeight="1" spans="2:35" x14ac:dyDescent="0.25">
      <c r="B24" s="144"/>
      <c r="K24" s="136"/>
      <c r="L24" s="142" t="s">
        <v>164</v>
      </c>
      <c r="M24" s="140"/>
      <c r="Y24" s="138"/>
      <c r="Z24" s="136"/>
      <c r="AI24" s="138"/>
    </row>
    <row r="25" ht="26.25" customHeight="1" spans="2:35" x14ac:dyDescent="0.25">
      <c r="B25" s="137"/>
      <c r="K25" s="136"/>
      <c r="L25" s="139" t="s">
        <v>176</v>
      </c>
      <c r="Y25" s="138"/>
      <c r="Z25" s="136"/>
      <c r="AA25" s="143" t="s">
        <v>177</v>
      </c>
      <c r="AI25" s="138"/>
    </row>
    <row r="26" ht="21" customHeight="1" spans="2:35" x14ac:dyDescent="0.25">
      <c r="B26" s="139"/>
      <c r="K26" s="136"/>
      <c r="L26" s="148"/>
      <c r="Y26" s="138"/>
      <c r="Z26" s="136"/>
      <c r="AA26" s="139" t="s">
        <v>178</v>
      </c>
      <c r="AI26" s="138"/>
    </row>
    <row r="27" ht="31.5" customHeight="1" spans="2:35" x14ac:dyDescent="0.25">
      <c r="B27" s="139"/>
      <c r="C27" s="140"/>
      <c r="K27" s="136"/>
      <c r="L27" s="141" t="s">
        <v>179</v>
      </c>
      <c r="Y27" s="138"/>
      <c r="Z27" s="136"/>
      <c r="AA27" s="71" t="s">
        <v>62</v>
      </c>
      <c r="AB27" s="71" t="s">
        <v>63</v>
      </c>
      <c r="AC27" s="71" t="s">
        <v>64</v>
      </c>
      <c r="AD27" s="72" t="s">
        <v>65</v>
      </c>
      <c r="AE27" s="72" t="s">
        <v>66</v>
      </c>
      <c r="AF27" s="72" t="s">
        <v>67</v>
      </c>
      <c r="AG27" s="73" t="s">
        <v>68</v>
      </c>
      <c r="AH27" s="73" t="s">
        <v>69</v>
      </c>
      <c r="AI27" s="138"/>
    </row>
    <row r="28" ht="21" customHeight="1" spans="2:35" x14ac:dyDescent="0.25">
      <c r="B28" s="139"/>
      <c r="C28" s="140"/>
      <c r="K28" s="136"/>
      <c r="L28" s="139" t="s">
        <v>157</v>
      </c>
      <c r="Y28" s="138"/>
      <c r="Z28" s="136"/>
      <c r="AA28" s="77">
        <v>44239</v>
      </c>
      <c r="AB28" s="78">
        <v>1</v>
      </c>
      <c r="AC28" s="79">
        <v>35000</v>
      </c>
      <c r="AD28" s="78">
        <v>22</v>
      </c>
      <c r="AE28" s="80" t="s">
        <v>180</v>
      </c>
      <c r="AF28" s="78" t="s">
        <v>181</v>
      </c>
      <c r="AG28" s="78">
        <v>6</v>
      </c>
      <c r="AH28" s="78">
        <v>3</v>
      </c>
      <c r="AI28" s="138"/>
    </row>
    <row r="29" ht="21" customHeight="1" spans="2:35" x14ac:dyDescent="0.25">
      <c r="B29" s="142"/>
      <c r="C29" s="140"/>
      <c r="K29" s="136"/>
      <c r="L29" s="142" t="s">
        <v>182</v>
      </c>
      <c r="M29" s="140"/>
      <c r="Y29" s="138"/>
      <c r="Z29" s="136"/>
      <c r="AA29" s="149" t="s">
        <v>183</v>
      </c>
      <c r="AB29" s="150"/>
      <c r="AC29" s="150"/>
      <c r="AD29" s="150"/>
      <c r="AE29" s="150"/>
      <c r="AF29" s="150"/>
      <c r="AG29" s="150"/>
      <c r="AH29" s="151"/>
      <c r="AI29" s="138"/>
    </row>
    <row r="30" ht="21" customHeight="1" spans="2:35" x14ac:dyDescent="0.25">
      <c r="B30" s="142"/>
      <c r="C30" s="140"/>
      <c r="K30" s="136"/>
      <c r="L30" s="142" t="s">
        <v>184</v>
      </c>
      <c r="M30" s="140"/>
      <c r="Y30" s="138"/>
      <c r="AI30" s="138"/>
    </row>
    <row r="31" ht="21" customHeight="1" spans="2:35" x14ac:dyDescent="0.25">
      <c r="B31" s="139"/>
      <c r="C31" s="140"/>
      <c r="K31" s="136"/>
      <c r="L31" s="142" t="s">
        <v>185</v>
      </c>
      <c r="M31" s="140"/>
      <c r="Y31" s="138"/>
      <c r="AI31" s="138"/>
    </row>
    <row r="32" ht="21" customHeight="1" spans="2:35" x14ac:dyDescent="0.25">
      <c r="B32" s="139"/>
      <c r="C32" s="140"/>
      <c r="K32" s="136"/>
      <c r="L32" s="142" t="s">
        <v>175</v>
      </c>
      <c r="M32" s="140"/>
      <c r="Y32" s="138"/>
      <c r="AA32" s="143" t="s">
        <v>186</v>
      </c>
      <c r="AI32" s="138"/>
    </row>
    <row r="33" ht="23.25" customHeight="1" spans="11:35" x14ac:dyDescent="0.25">
      <c r="K33" s="136"/>
      <c r="L33" s="142" t="s">
        <v>164</v>
      </c>
      <c r="M33" s="140"/>
      <c r="Y33" s="138"/>
      <c r="AA33" s="152" t="s">
        <v>187</v>
      </c>
      <c r="AI33" s="138"/>
    </row>
    <row r="34" ht="23.25" customHeight="1" spans="2:35" x14ac:dyDescent="0.25">
      <c r="B34" s="143"/>
      <c r="K34" s="136"/>
      <c r="L34" s="139" t="s">
        <v>176</v>
      </c>
      <c r="Y34" s="138"/>
      <c r="AA34" s="152" t="s">
        <v>188</v>
      </c>
      <c r="AI34" s="138"/>
    </row>
    <row r="35" ht="21" customHeight="1" spans="2:35" x14ac:dyDescent="0.25">
      <c r="B35" s="139"/>
      <c r="K35" s="136"/>
      <c r="Y35" s="138"/>
      <c r="AA35" s="140" t="s">
        <v>189</v>
      </c>
      <c r="AI35" s="138"/>
    </row>
    <row r="36" ht="24" customHeight="1" spans="2:35" x14ac:dyDescent="0.25">
      <c r="B36" s="142"/>
      <c r="C36" s="140"/>
      <c r="K36" s="136"/>
      <c r="L36" s="141" t="s">
        <v>190</v>
      </c>
      <c r="Y36" s="138"/>
      <c r="Z36" s="145"/>
      <c r="AA36" s="147"/>
      <c r="AB36" s="147"/>
      <c r="AC36" s="147"/>
      <c r="AD36" s="147"/>
      <c r="AE36" s="147"/>
      <c r="AF36" s="147"/>
      <c r="AG36" s="147"/>
      <c r="AH36" s="147"/>
      <c r="AI36" s="153"/>
    </row>
    <row r="37" ht="21" customHeight="1" spans="2:25" x14ac:dyDescent="0.25">
      <c r="B37" s="142"/>
      <c r="C37" s="140"/>
      <c r="K37" s="136"/>
      <c r="L37" s="139" t="s">
        <v>157</v>
      </c>
      <c r="Y37" s="138"/>
    </row>
    <row r="38" ht="21" customHeight="1" spans="2:25" x14ac:dyDescent="0.25">
      <c r="B38" s="142"/>
      <c r="C38" s="140"/>
      <c r="K38" s="136"/>
      <c r="L38" s="142" t="s">
        <v>191</v>
      </c>
      <c r="M38" s="140"/>
      <c r="Y38" s="138"/>
    </row>
    <row r="39" ht="21" customHeight="1" spans="2:25" x14ac:dyDescent="0.25">
      <c r="B39" s="142"/>
      <c r="C39" s="140"/>
      <c r="K39" s="136"/>
      <c r="L39" s="142" t="s">
        <v>192</v>
      </c>
      <c r="M39" s="140"/>
      <c r="Y39" s="138"/>
    </row>
    <row r="40" ht="21" customHeight="1" spans="2:25" x14ac:dyDescent="0.25">
      <c r="B40" s="142"/>
      <c r="C40" s="140"/>
      <c r="K40" s="136"/>
      <c r="L40" s="142" t="s">
        <v>193</v>
      </c>
      <c r="M40" s="140"/>
      <c r="Y40" s="138"/>
    </row>
    <row r="41" ht="21" customHeight="1" spans="2:25" x14ac:dyDescent="0.25">
      <c r="B41" s="142"/>
      <c r="C41" s="140"/>
      <c r="K41" s="136"/>
      <c r="L41" s="142" t="s">
        <v>175</v>
      </c>
      <c r="M41" s="140"/>
      <c r="Y41" s="138"/>
    </row>
    <row r="42" ht="21" customHeight="1" spans="2:25" x14ac:dyDescent="0.25">
      <c r="B42" s="142"/>
      <c r="C42" s="140"/>
      <c r="K42" s="136"/>
      <c r="L42" s="142" t="s">
        <v>164</v>
      </c>
      <c r="M42" s="140"/>
      <c r="Y42" s="138"/>
    </row>
    <row r="43" ht="21" customHeight="1" spans="2:25" x14ac:dyDescent="0.25">
      <c r="B43" s="142"/>
      <c r="C43" s="140"/>
      <c r="K43" s="136"/>
      <c r="L43" s="154" t="s">
        <v>194</v>
      </c>
      <c r="M43" s="140"/>
      <c r="Y43" s="138"/>
    </row>
    <row r="44" ht="21" customHeight="1" spans="2:25" x14ac:dyDescent="0.25">
      <c r="B44" s="142"/>
      <c r="C44" s="140"/>
      <c r="K44" s="136"/>
      <c r="L44" s="155" t="s">
        <v>195</v>
      </c>
      <c r="Y44" s="138"/>
    </row>
    <row r="45" ht="21" customHeight="1" spans="2:25" x14ac:dyDescent="0.25">
      <c r="B45" s="142"/>
      <c r="C45" s="140"/>
      <c r="K45" s="136"/>
      <c r="L45" s="155" t="s">
        <v>196</v>
      </c>
      <c r="Y45" s="138"/>
    </row>
    <row r="46" ht="21" customHeight="1" spans="2:25" x14ac:dyDescent="0.25">
      <c r="B46" s="142"/>
      <c r="C46" s="140"/>
      <c r="K46" s="136"/>
      <c r="L46" s="139" t="s">
        <v>176</v>
      </c>
      <c r="Y46" s="138"/>
    </row>
    <row r="47" ht="21" customHeight="1" spans="2:25" x14ac:dyDescent="0.25">
      <c r="B47" s="142"/>
      <c r="C47" s="140"/>
      <c r="K47" s="136"/>
      <c r="Y47" s="138"/>
    </row>
    <row r="48" ht="23.25" customHeight="1" spans="2:25" x14ac:dyDescent="0.25">
      <c r="B48" s="139"/>
      <c r="K48" s="136"/>
      <c r="L48" s="156" t="s">
        <v>197</v>
      </c>
      <c r="Y48" s="138"/>
    </row>
    <row r="49" ht="21" customHeight="1" spans="2:25" x14ac:dyDescent="0.25">
      <c r="B49" s="148"/>
      <c r="K49" s="136"/>
      <c r="L49" s="139" t="s">
        <v>157</v>
      </c>
      <c r="Y49" s="138"/>
    </row>
    <row r="50" ht="21" customHeight="1" spans="2:25" x14ac:dyDescent="0.25">
      <c r="B50" s="143"/>
      <c r="K50" s="136"/>
      <c r="L50" s="142" t="s">
        <v>175</v>
      </c>
      <c r="Y50" s="138"/>
    </row>
    <row r="51" ht="21" customHeight="1" spans="2:25" x14ac:dyDescent="0.25">
      <c r="B51" s="139"/>
      <c r="K51" s="136"/>
      <c r="L51" s="154" t="s">
        <v>194</v>
      </c>
      <c r="Y51" s="138"/>
    </row>
    <row r="52" ht="21" customHeight="1" spans="2:25" x14ac:dyDescent="0.25">
      <c r="B52" s="142"/>
      <c r="C52" s="140"/>
      <c r="K52" s="136"/>
      <c r="L52" s="155" t="s">
        <v>195</v>
      </c>
      <c r="Y52" s="138"/>
    </row>
    <row r="53" ht="21" customHeight="1" spans="2:25" x14ac:dyDescent="0.25">
      <c r="B53" s="142"/>
      <c r="C53" s="140"/>
      <c r="K53" s="136"/>
      <c r="L53" s="155" t="s">
        <v>196</v>
      </c>
      <c r="Y53" s="138"/>
    </row>
    <row r="54" ht="21" customHeight="1" spans="2:25" x14ac:dyDescent="0.25">
      <c r="B54" s="142"/>
      <c r="C54" s="140"/>
      <c r="K54" s="136"/>
      <c r="Y54" s="138"/>
    </row>
    <row r="55" ht="23.25" customHeight="1" spans="2:25" x14ac:dyDescent="0.25">
      <c r="B55" s="142"/>
      <c r="C55" s="140"/>
      <c r="K55" s="136"/>
      <c r="L55" s="156" t="s">
        <v>198</v>
      </c>
      <c r="Y55" s="138"/>
    </row>
    <row r="56" ht="21" customHeight="1" spans="2:25" x14ac:dyDescent="0.25">
      <c r="B56" s="142"/>
      <c r="C56" s="140"/>
      <c r="K56" s="136"/>
      <c r="L56" s="139" t="s">
        <v>157</v>
      </c>
      <c r="Y56" s="138"/>
    </row>
    <row r="57" ht="21" customHeight="1" spans="2:25" x14ac:dyDescent="0.25">
      <c r="B57" s="139"/>
      <c r="K57" s="136"/>
      <c r="L57" s="142" t="s">
        <v>199</v>
      </c>
      <c r="M57" s="140"/>
      <c r="Y57" s="138"/>
    </row>
    <row r="58" ht="21" customHeight="1" spans="11:25" x14ac:dyDescent="0.25">
      <c r="K58" s="136"/>
      <c r="L58" s="142" t="s">
        <v>200</v>
      </c>
      <c r="M58" s="140"/>
      <c r="Y58" s="138"/>
    </row>
    <row r="59" ht="21" customHeight="1" spans="2:25" x14ac:dyDescent="0.25">
      <c r="B59" s="143"/>
      <c r="K59" s="136"/>
      <c r="L59" s="142" t="s">
        <v>201</v>
      </c>
      <c r="M59" s="140"/>
      <c r="Y59" s="138"/>
    </row>
    <row r="60" ht="21" customHeight="1" spans="2:25" x14ac:dyDescent="0.25">
      <c r="B60" s="139"/>
      <c r="K60" s="136"/>
      <c r="L60" s="142" t="s">
        <v>175</v>
      </c>
      <c r="M60" s="140"/>
      <c r="Y60" s="138"/>
    </row>
    <row r="61" ht="21" customHeight="1" spans="2:25" x14ac:dyDescent="0.25">
      <c r="B61" s="142"/>
      <c r="C61" s="140"/>
      <c r="K61" s="136"/>
      <c r="L61" s="142" t="s">
        <v>164</v>
      </c>
      <c r="M61" s="140"/>
      <c r="Y61" s="138"/>
    </row>
    <row r="62" ht="21" customHeight="1" spans="2:25" x14ac:dyDescent="0.25">
      <c r="B62" s="154"/>
      <c r="C62" s="140"/>
      <c r="K62" s="136"/>
      <c r="L62" s="154" t="s">
        <v>194</v>
      </c>
      <c r="M62" s="140"/>
      <c r="Y62" s="138"/>
    </row>
    <row r="63" ht="21" customHeight="1" spans="2:25" x14ac:dyDescent="0.25">
      <c r="B63" s="155"/>
      <c r="K63" s="136"/>
      <c r="L63" s="155" t="s">
        <v>195</v>
      </c>
      <c r="Y63" s="138"/>
    </row>
    <row r="64" ht="21" customHeight="1" spans="2:25" x14ac:dyDescent="0.25">
      <c r="B64" s="155"/>
      <c r="K64" s="136"/>
      <c r="L64" s="155" t="s">
        <v>196</v>
      </c>
      <c r="Y64" s="138"/>
    </row>
    <row r="65" ht="21" customHeight="1" spans="2:25" x14ac:dyDescent="0.25">
      <c r="B65" s="155"/>
      <c r="K65" s="136"/>
      <c r="L65" s="139" t="s">
        <v>176</v>
      </c>
      <c r="Y65" s="138"/>
    </row>
    <row r="66" ht="21" customHeight="1" spans="2:25" x14ac:dyDescent="0.25">
      <c r="B66" s="155"/>
      <c r="K66" s="136"/>
      <c r="L66" s="148"/>
      <c r="Y66" s="138"/>
    </row>
    <row r="67" ht="23.25" customHeight="1" spans="2:25" x14ac:dyDescent="0.25">
      <c r="B67" s="155"/>
      <c r="K67" s="136"/>
      <c r="L67" s="156" t="s">
        <v>202</v>
      </c>
      <c r="Y67" s="138"/>
    </row>
    <row r="68" ht="21" customHeight="1" spans="2:25" x14ac:dyDescent="0.25">
      <c r="B68" s="155"/>
      <c r="K68" s="136"/>
      <c r="L68" s="139" t="s">
        <v>203</v>
      </c>
      <c r="Y68" s="138"/>
    </row>
    <row r="69" ht="21" customHeight="1" spans="2:25" x14ac:dyDescent="0.25">
      <c r="B69" s="155"/>
      <c r="K69" s="136"/>
      <c r="L69" s="155"/>
      <c r="Y69" s="138"/>
    </row>
    <row r="70" ht="23.25" customHeight="1" spans="2:25" x14ac:dyDescent="0.25">
      <c r="B70" s="155"/>
      <c r="K70" s="136"/>
      <c r="L70" s="156" t="s">
        <v>204</v>
      </c>
      <c r="Y70" s="138"/>
    </row>
    <row r="71" ht="21" customHeight="1" spans="2:25" x14ac:dyDescent="0.25">
      <c r="B71" s="155"/>
      <c r="K71" s="136"/>
      <c r="L71" s="139" t="s">
        <v>157</v>
      </c>
      <c r="Y71" s="138"/>
    </row>
    <row r="72" ht="21" customHeight="1" spans="2:25" x14ac:dyDescent="0.25">
      <c r="B72" s="155"/>
      <c r="K72" s="136"/>
      <c r="L72" s="142" t="s">
        <v>205</v>
      </c>
      <c r="Y72" s="138"/>
    </row>
    <row r="73" ht="21" customHeight="1" spans="2:25" x14ac:dyDescent="0.25">
      <c r="B73" s="155"/>
      <c r="K73" s="136"/>
      <c r="L73" s="142" t="s">
        <v>206</v>
      </c>
      <c r="Y73" s="138"/>
    </row>
    <row r="74" ht="21" customHeight="1" spans="2:25" x14ac:dyDescent="0.25">
      <c r="B74" s="155"/>
      <c r="K74" s="136"/>
      <c r="L74" s="142" t="s">
        <v>207</v>
      </c>
      <c r="Y74" s="138"/>
    </row>
    <row r="75" ht="21" customHeight="1" spans="2:25" x14ac:dyDescent="0.25">
      <c r="B75" s="155"/>
      <c r="K75" s="136"/>
      <c r="L75" s="142" t="s">
        <v>164</v>
      </c>
      <c r="Y75" s="138"/>
    </row>
    <row r="76" ht="21" customHeight="1" spans="2:25" x14ac:dyDescent="0.25">
      <c r="B76" s="155"/>
      <c r="K76" s="136"/>
      <c r="L76" s="148"/>
      <c r="Y76" s="138"/>
    </row>
    <row r="77" ht="23.25" customHeight="1" spans="2:25" x14ac:dyDescent="0.25">
      <c r="B77" s="155"/>
      <c r="K77" s="136"/>
      <c r="L77" s="156" t="s">
        <v>208</v>
      </c>
      <c r="Y77" s="138"/>
    </row>
    <row r="78" ht="21" customHeight="1" spans="2:25" x14ac:dyDescent="0.25">
      <c r="B78" s="155"/>
      <c r="K78" s="136"/>
      <c r="L78" s="139" t="s">
        <v>157</v>
      </c>
      <c r="Y78" s="138"/>
    </row>
    <row r="79" ht="21" customHeight="1" spans="2:25" x14ac:dyDescent="0.25">
      <c r="B79" s="155"/>
      <c r="K79" s="136"/>
      <c r="L79" s="142" t="s">
        <v>209</v>
      </c>
      <c r="Y79" s="138"/>
    </row>
    <row r="80" ht="21" customHeight="1" spans="2:25" x14ac:dyDescent="0.25">
      <c r="B80" s="155"/>
      <c r="K80" s="136"/>
      <c r="L80" s="142" t="s">
        <v>210</v>
      </c>
      <c r="Y80" s="138"/>
    </row>
    <row r="81" ht="21" customHeight="1" spans="2:25" x14ac:dyDescent="0.25">
      <c r="B81" s="155"/>
      <c r="K81" s="136"/>
      <c r="L81" s="142" t="s">
        <v>211</v>
      </c>
      <c r="Y81" s="138"/>
    </row>
    <row r="82" ht="21.75" customHeight="1" spans="2:25" x14ac:dyDescent="0.25">
      <c r="B82" s="155"/>
      <c r="K82" s="145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53"/>
    </row>
    <row r="83" ht="21" customHeight="1" spans="2:2" x14ac:dyDescent="0.25">
      <c r="B83" s="155"/>
    </row>
    <row r="84" ht="21" customHeight="1" spans="2:2" x14ac:dyDescent="0.25">
      <c r="B84" s="155"/>
    </row>
    <row r="85" ht="21" customHeight="1" spans="2:2" x14ac:dyDescent="0.25">
      <c r="B85" s="155"/>
    </row>
    <row r="86" ht="21" customHeight="1" spans="2:2" x14ac:dyDescent="0.25">
      <c r="B86" s="155"/>
    </row>
    <row r="87" ht="21" customHeight="1" spans="2:2" x14ac:dyDescent="0.25">
      <c r="B87" s="155"/>
    </row>
    <row r="88" ht="21" customHeight="1" spans="2:2" x14ac:dyDescent="0.25">
      <c r="B88" s="155"/>
    </row>
    <row r="89" ht="21" customHeight="1" spans="2:2" x14ac:dyDescent="0.25">
      <c r="B89" s="155"/>
    </row>
    <row r="90" ht="21" customHeight="1" spans="2:2" x14ac:dyDescent="0.25">
      <c r="B90" s="155"/>
    </row>
    <row r="91" ht="21" customHeight="1" spans="2:2" x14ac:dyDescent="0.25">
      <c r="B91" s="155"/>
    </row>
    <row r="92" ht="21" customHeight="1" spans="2:2" x14ac:dyDescent="0.25">
      <c r="B92" s="155"/>
    </row>
    <row r="93" ht="21" customHeight="1" spans="2:2" x14ac:dyDescent="0.25">
      <c r="B93" s="155"/>
    </row>
    <row r="94" ht="21" customHeight="1" spans="2:2" x14ac:dyDescent="0.25">
      <c r="B94" s="155"/>
    </row>
    <row r="95" ht="21" customHeight="1" spans="2:2" x14ac:dyDescent="0.25">
      <c r="B95" s="155"/>
    </row>
    <row r="96" ht="21" customHeight="1" spans="2:2" x14ac:dyDescent="0.25">
      <c r="B96" s="155"/>
    </row>
    <row r="97" ht="21" customHeight="1" spans="2:2" x14ac:dyDescent="0.25">
      <c r="B97" s="155"/>
    </row>
    <row r="98" ht="21" customHeight="1" spans="2:2" x14ac:dyDescent="0.25">
      <c r="B98" s="155"/>
    </row>
    <row r="99" ht="21" customHeight="1" spans="2:2" x14ac:dyDescent="0.25">
      <c r="B99" s="155"/>
    </row>
  </sheetData>
  <sheetProtection sheet="1" objects="1" scenarios="1"/>
  <mergeCells count="1">
    <mergeCell ref="AA29:AH29"/>
  </mergeCells>
  <hyperlinks>
    <hyperlink ref="AA34" r:id="rId1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V30"/>
  <sheetViews>
    <sheetView workbookViewId="0" zoomScale="100" zoomScaleNormal="100"/>
  </sheetViews>
  <sheetFormatPr defaultRowHeight="15" outlineLevelRow="0" outlineLevelCol="0" x14ac:dyDescent="0.25"/>
  <cols>
    <col min="1" max="1" width="2.28515625" customWidth="1"/>
    <col min="12" max="12" width="9.28515625" customWidth="1"/>
    <col min="13" max="15" width="7.7109375" customWidth="1"/>
    <col min="16" max="16" width="10" customWidth="1"/>
    <col min="17" max="17" width="16.28515625" customWidth="1"/>
    <col min="18" max="18" width="18" customWidth="1"/>
    <col min="19" max="22" width="7.7109375" customWidth="1"/>
    <col min="25" max="25" width="6.85546875" customWidth="1"/>
    <col min="26" max="26" width="10.140625" customWidth="1"/>
    <col min="27" max="27" width="17.85546875" customWidth="1"/>
  </cols>
  <sheetData>
    <row r="1" ht="15.75" customHeight="1" x14ac:dyDescent="0.25"/>
    <row r="2" ht="27" customHeight="1" spans="2:22" x14ac:dyDescent="0.25">
      <c r="B2" s="157" t="s">
        <v>212</v>
      </c>
      <c r="C2" s="158"/>
      <c r="D2" s="158"/>
      <c r="E2" s="158"/>
      <c r="F2" s="158"/>
      <c r="G2" s="158"/>
      <c r="H2" s="158"/>
      <c r="I2" s="158"/>
      <c r="J2" s="158"/>
      <c r="K2" s="159"/>
      <c r="M2" s="157" t="s">
        <v>213</v>
      </c>
      <c r="N2" s="158"/>
      <c r="O2" s="158"/>
      <c r="P2" s="158"/>
      <c r="Q2" s="158"/>
      <c r="R2" s="158"/>
      <c r="S2" s="158"/>
      <c r="T2" s="158"/>
      <c r="U2" s="158"/>
      <c r="V2" s="159"/>
    </row>
    <row r="3" ht="15.75" customHeight="1" x14ac:dyDescent="0.25"/>
    <row r="4" ht="18.75" customHeight="1" spans="2:22" x14ac:dyDescent="0.25">
      <c r="B4" s="160" t="s">
        <v>214</v>
      </c>
      <c r="C4" s="161"/>
      <c r="D4" s="161"/>
      <c r="E4" s="161"/>
      <c r="F4" s="161"/>
      <c r="G4" s="161"/>
      <c r="H4" s="161"/>
      <c r="I4" s="161"/>
      <c r="J4" s="161"/>
      <c r="K4" s="162"/>
      <c r="M4" s="160" t="s">
        <v>215</v>
      </c>
      <c r="N4" s="161"/>
      <c r="O4" s="161"/>
      <c r="P4" s="161"/>
      <c r="Q4" s="161"/>
      <c r="R4" s="161"/>
      <c r="S4" s="161"/>
      <c r="T4" s="161"/>
      <c r="U4" s="161"/>
      <c r="V4" s="162"/>
    </row>
    <row r="5" ht="29.25" customHeight="1" spans="2:22" x14ac:dyDescent="0.25">
      <c r="B5" s="163" t="s">
        <v>216</v>
      </c>
      <c r="C5" s="164"/>
      <c r="D5" s="164"/>
      <c r="E5" s="164"/>
      <c r="F5" s="164"/>
      <c r="G5" s="164"/>
      <c r="H5" s="164"/>
      <c r="I5" s="164"/>
      <c r="J5" s="164"/>
      <c r="K5" s="165"/>
      <c r="M5" s="166" t="s">
        <v>217</v>
      </c>
      <c r="N5" s="167"/>
      <c r="O5" s="167"/>
      <c r="P5" s="167"/>
      <c r="Q5" s="167"/>
      <c r="R5" s="167"/>
      <c r="S5" s="167"/>
      <c r="T5" s="167"/>
      <c r="U5" s="167"/>
      <c r="V5" s="168"/>
    </row>
    <row r="6" ht="29.25" customHeight="1" spans="13:22" x14ac:dyDescent="0.25">
      <c r="M6" s="163" t="s">
        <v>216</v>
      </c>
      <c r="N6" s="164"/>
      <c r="O6" s="164"/>
      <c r="P6" s="164"/>
      <c r="Q6" s="164"/>
      <c r="R6" s="164"/>
      <c r="S6" s="164"/>
      <c r="T6" s="164"/>
      <c r="U6" s="164"/>
      <c r="V6" s="165"/>
    </row>
    <row r="7" ht="15.75" customHeight="1" spans="2:11" x14ac:dyDescent="0.25">
      <c r="B7" s="169" t="s">
        <v>218</v>
      </c>
      <c r="C7" s="170"/>
      <c r="D7" s="170"/>
      <c r="E7" s="170"/>
      <c r="F7" s="170"/>
      <c r="G7" s="170"/>
      <c r="H7" s="170"/>
      <c r="I7" s="170"/>
      <c r="J7" s="170"/>
      <c r="K7" s="171"/>
    </row>
    <row r="8" ht="15.75" customHeight="1" spans="2:22" x14ac:dyDescent="0.25">
      <c r="B8" s="172" t="s">
        <v>219</v>
      </c>
      <c r="C8" s="173"/>
      <c r="D8" s="173"/>
      <c r="E8" s="173"/>
      <c r="F8" s="173"/>
      <c r="G8" s="173"/>
      <c r="H8" s="173"/>
      <c r="I8" s="173"/>
      <c r="J8" s="173"/>
      <c r="K8" s="174"/>
      <c r="M8" s="169" t="s">
        <v>218</v>
      </c>
      <c r="N8" s="170"/>
      <c r="O8" s="170"/>
      <c r="P8" s="170"/>
      <c r="Q8" s="170"/>
      <c r="R8" s="170"/>
      <c r="S8" s="170"/>
      <c r="T8" s="170"/>
      <c r="U8" s="170"/>
      <c r="V8" s="171"/>
    </row>
    <row r="9" ht="15.75" customHeight="1" spans="13:22" x14ac:dyDescent="0.25">
      <c r="M9" s="172" t="s">
        <v>220</v>
      </c>
      <c r="N9" s="173"/>
      <c r="O9" s="173"/>
      <c r="P9" s="173"/>
      <c r="Q9" s="173"/>
      <c r="R9" s="173"/>
      <c r="S9" s="173"/>
      <c r="T9" s="173"/>
      <c r="U9" s="173"/>
      <c r="V9" s="174"/>
    </row>
    <row r="10" ht="15.75" customHeight="1" x14ac:dyDescent="0.25"/>
    <row r="11" ht="18.75" customHeight="1" spans="2:11" x14ac:dyDescent="0.25">
      <c r="B11" s="160" t="s">
        <v>221</v>
      </c>
      <c r="C11" s="161"/>
      <c r="D11" s="161"/>
      <c r="E11" s="161"/>
      <c r="F11" s="161"/>
      <c r="G11" s="161"/>
      <c r="H11" s="161"/>
      <c r="I11" s="161"/>
      <c r="J11" s="161"/>
      <c r="K11" s="162"/>
    </row>
    <row r="12" ht="29.25" customHeight="1" spans="2:11" x14ac:dyDescent="0.25">
      <c r="B12" s="163" t="s">
        <v>222</v>
      </c>
      <c r="C12" s="164"/>
      <c r="D12" s="164"/>
      <c r="E12" s="164"/>
      <c r="F12" s="164"/>
      <c r="G12" s="164"/>
      <c r="H12" s="164"/>
      <c r="I12" s="164"/>
      <c r="J12" s="164"/>
      <c r="K12" s="165"/>
    </row>
    <row r="13" ht="19.5" customHeight="1" spans="13:22" x14ac:dyDescent="0.25">
      <c r="M13" s="160" t="s">
        <v>223</v>
      </c>
      <c r="N13" s="161"/>
      <c r="O13" s="161"/>
      <c r="P13" s="161"/>
      <c r="Q13" s="161"/>
      <c r="R13" s="161"/>
      <c r="S13" s="161"/>
      <c r="T13" s="161"/>
      <c r="U13" s="161"/>
      <c r="V13" s="162"/>
    </row>
    <row r="14" ht="18.75" customHeight="1" spans="2:22" x14ac:dyDescent="0.25">
      <c r="B14" s="169" t="s">
        <v>224</v>
      </c>
      <c r="C14" s="170"/>
      <c r="D14" s="170"/>
      <c r="E14" s="170"/>
      <c r="F14" s="170"/>
      <c r="G14" s="170"/>
      <c r="H14" s="170"/>
      <c r="I14" s="170"/>
      <c r="J14" s="170"/>
      <c r="K14" s="171"/>
      <c r="M14" s="166" t="s">
        <v>225</v>
      </c>
      <c r="N14" s="167"/>
      <c r="O14" s="167"/>
      <c r="P14" s="167"/>
      <c r="Q14" s="167"/>
      <c r="R14" s="167"/>
      <c r="S14" s="167"/>
      <c r="T14" s="167"/>
      <c r="U14" s="167"/>
      <c r="V14" s="168"/>
    </row>
    <row r="15" ht="29.25" customHeight="1" spans="2:22" x14ac:dyDescent="0.25">
      <c r="B15" s="175" t="s">
        <v>226</v>
      </c>
      <c r="C15" s="176"/>
      <c r="D15" s="176"/>
      <c r="E15" s="176"/>
      <c r="F15" s="176"/>
      <c r="G15" s="176"/>
      <c r="H15" s="176"/>
      <c r="I15" s="176"/>
      <c r="J15" s="176"/>
      <c r="K15" s="177"/>
      <c r="M15" s="178" t="s">
        <v>216</v>
      </c>
      <c r="N15" s="179"/>
      <c r="O15" s="179"/>
      <c r="P15" s="179"/>
      <c r="Q15" s="179"/>
      <c r="R15" s="179"/>
      <c r="S15" s="179"/>
      <c r="T15" s="179"/>
      <c r="U15" s="179"/>
      <c r="V15" s="180"/>
    </row>
    <row r="16" ht="18.75" customHeight="1" spans="2:22" x14ac:dyDescent="0.25"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M16" s="166" t="s">
        <v>227</v>
      </c>
      <c r="N16" s="167"/>
      <c r="O16" s="167"/>
      <c r="P16" s="167"/>
      <c r="Q16" s="167"/>
      <c r="R16" s="167"/>
      <c r="S16" s="167"/>
      <c r="T16" s="167"/>
      <c r="U16" s="167"/>
      <c r="V16" s="168"/>
    </row>
    <row r="17" ht="29.25" customHeight="1" spans="2:22" x14ac:dyDescent="0.25"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M17" s="163" t="s">
        <v>222</v>
      </c>
      <c r="N17" s="164"/>
      <c r="O17" s="164"/>
      <c r="P17" s="164"/>
      <c r="Q17" s="164"/>
      <c r="R17" s="164"/>
      <c r="S17" s="164"/>
      <c r="T17" s="164"/>
      <c r="U17" s="164"/>
      <c r="V17" s="165"/>
    </row>
    <row r="18" ht="28.5" customHeight="1" spans="2:22" x14ac:dyDescent="0.25"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M18" s="179"/>
      <c r="N18" s="179"/>
      <c r="O18" s="179"/>
      <c r="P18" s="179"/>
      <c r="Q18" s="179"/>
      <c r="R18" s="179"/>
      <c r="S18" s="179"/>
      <c r="T18" s="179"/>
      <c r="U18" s="179"/>
      <c r="V18" s="179"/>
    </row>
    <row r="19" ht="15.75" customHeight="1" x14ac:dyDescent="0.25"/>
    <row r="20" ht="15.75" customHeight="1" spans="13:22" x14ac:dyDescent="0.25">
      <c r="M20" s="98" t="s">
        <v>218</v>
      </c>
      <c r="N20" s="182"/>
      <c r="O20" s="182"/>
      <c r="P20" s="182"/>
      <c r="Q20" s="182"/>
      <c r="R20" s="182"/>
      <c r="S20" s="182"/>
      <c r="T20" s="182"/>
      <c r="U20" s="182"/>
      <c r="V20" s="183"/>
    </row>
    <row r="21" ht="30.6" customHeight="1" spans="13:22" x14ac:dyDescent="0.25">
      <c r="M21" s="184"/>
      <c r="N21" s="97"/>
      <c r="O21" s="97"/>
      <c r="P21" s="97"/>
      <c r="Q21" s="97"/>
      <c r="R21" s="97"/>
      <c r="S21" s="97"/>
      <c r="T21" s="97"/>
      <c r="U21" s="97"/>
      <c r="V21" s="185"/>
    </row>
    <row r="22" spans="13:22" x14ac:dyDescent="0.25">
      <c r="M22" s="184"/>
      <c r="P22" s="186"/>
      <c r="Q22" s="187" t="s">
        <v>228</v>
      </c>
      <c r="R22" s="187" t="s">
        <v>229</v>
      </c>
      <c r="V22" s="188"/>
    </row>
    <row r="23" spans="13:22" x14ac:dyDescent="0.25">
      <c r="M23" s="189"/>
      <c r="P23" s="186" t="s">
        <v>90</v>
      </c>
      <c r="Q23" s="186" t="s">
        <v>230</v>
      </c>
      <c r="R23" s="186" t="s">
        <v>230</v>
      </c>
      <c r="V23" s="188"/>
    </row>
    <row r="24" spans="13:22" x14ac:dyDescent="0.25">
      <c r="M24" s="189"/>
      <c r="P24" s="186" t="s">
        <v>91</v>
      </c>
      <c r="Q24" s="186" t="s">
        <v>231</v>
      </c>
      <c r="R24" s="186" t="s">
        <v>231</v>
      </c>
      <c r="V24" s="188"/>
    </row>
    <row r="25" spans="13:22" x14ac:dyDescent="0.25">
      <c r="M25" s="189"/>
      <c r="P25" s="186" t="s">
        <v>92</v>
      </c>
      <c r="Q25" s="186" t="s">
        <v>232</v>
      </c>
      <c r="R25" s="186" t="s">
        <v>232</v>
      </c>
      <c r="V25" s="188"/>
    </row>
    <row r="26" ht="15.75" customHeight="1" spans="13:22" x14ac:dyDescent="0.25">
      <c r="M26" s="190"/>
      <c r="N26" s="191"/>
      <c r="O26" s="191"/>
      <c r="P26" s="191"/>
      <c r="Q26" s="191"/>
      <c r="R26" s="191"/>
      <c r="S26" s="191"/>
      <c r="T26" s="191"/>
      <c r="U26" s="191"/>
      <c r="V26" s="192"/>
    </row>
    <row r="27" spans="13:22" x14ac:dyDescent="0.25">
      <c r="M27" s="97"/>
      <c r="N27" s="97"/>
      <c r="O27" s="97"/>
      <c r="P27" s="97"/>
      <c r="Q27" s="97"/>
      <c r="R27" s="97"/>
      <c r="S27" s="97"/>
      <c r="T27" s="97"/>
      <c r="U27" s="97"/>
      <c r="V27" s="97"/>
    </row>
    <row r="28" ht="15.75" customHeight="1" x14ac:dyDescent="0.25"/>
    <row r="29" spans="13:22" x14ac:dyDescent="0.25">
      <c r="M29" s="169" t="s">
        <v>224</v>
      </c>
      <c r="N29" s="170"/>
      <c r="O29" s="170"/>
      <c r="P29" s="170"/>
      <c r="Q29" s="170"/>
      <c r="R29" s="170"/>
      <c r="S29" s="170"/>
      <c r="T29" s="170"/>
      <c r="U29" s="170"/>
      <c r="V29" s="171"/>
    </row>
    <row r="30" ht="15.75" customHeight="1" spans="13:22" x14ac:dyDescent="0.25">
      <c r="M30" s="175" t="s">
        <v>226</v>
      </c>
      <c r="N30" s="173"/>
      <c r="O30" s="173"/>
      <c r="P30" s="173"/>
      <c r="Q30" s="173"/>
      <c r="R30" s="173"/>
      <c r="S30" s="173"/>
      <c r="T30" s="173"/>
      <c r="U30" s="173"/>
      <c r="V30" s="174"/>
    </row>
  </sheetData>
  <sheetProtection sheet="1" objects="1" scenarios="1"/>
  <mergeCells count="23">
    <mergeCell ref="B2:K2"/>
    <mergeCell ref="M2:V2"/>
    <mergeCell ref="B4:K4"/>
    <mergeCell ref="M4:V4"/>
    <mergeCell ref="B5:K5"/>
    <mergeCell ref="M5:V5"/>
    <mergeCell ref="M6:V6"/>
    <mergeCell ref="B7:K7"/>
    <mergeCell ref="B8:K8"/>
    <mergeCell ref="M8:V8"/>
    <mergeCell ref="M9:V9"/>
    <mergeCell ref="B11:K11"/>
    <mergeCell ref="B12:K12"/>
    <mergeCell ref="M13:V13"/>
    <mergeCell ref="B14:K14"/>
    <mergeCell ref="M14:V14"/>
    <mergeCell ref="B15:K15"/>
    <mergeCell ref="M15:V15"/>
    <mergeCell ref="M16:V16"/>
    <mergeCell ref="M17:V17"/>
    <mergeCell ref="M20:V20"/>
    <mergeCell ref="M29:V29"/>
    <mergeCell ref="M30:V30"/>
  </mergeCells>
  <hyperlinks>
    <hyperlink ref="B15" r:id="rId1"/>
    <hyperlink ref="M30" r:id="rId2"/>
  </hyperlinks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8"/>
  <sheetViews>
    <sheetView workbookViewId="0" zoomScale="100" zoomScaleNormal="100">
      <selection activeCell="C12" sqref="C12"/>
    </sheetView>
  </sheetViews>
  <sheetFormatPr defaultRowHeight="15" outlineLevelRow="0" outlineLevelCol="0" x14ac:dyDescent="0.25" defaultColWidth="9.140625"/>
  <cols>
    <col min="1" max="1" width="28.42578125" style="96" customWidth="1"/>
    <col min="2" max="2" width="35" style="96" customWidth="1"/>
    <col min="3" max="17" width="11.7109375" style="96" customWidth="1"/>
    <col min="18" max="16384" width="9.140625" style="96" customWidth="1"/>
  </cols>
  <sheetData>
    <row r="3" ht="15.75" customHeight="1" x14ac:dyDescent="0.25"/>
    <row r="4" ht="21" customHeight="1" spans="1:17" x14ac:dyDescent="0.25">
      <c r="A4" s="4" t="s">
        <v>23</v>
      </c>
      <c r="B4" s="5" t="str">
        <f>'Weekly Return'!C2</f>
        <v>Bedstone Poultry Ltd</v>
      </c>
      <c r="C4" s="2"/>
      <c r="D4" s="6" t="s">
        <v>2</v>
      </c>
      <c r="E4" s="7"/>
      <c r="F4" s="7"/>
      <c r="G4" s="7"/>
      <c r="H4" s="7"/>
      <c r="I4" s="8"/>
      <c r="J4" s="2"/>
      <c r="K4" s="3" t="s">
        <v>3</v>
      </c>
      <c r="L4" s="9">
        <v>5</v>
      </c>
      <c r="M4" s="9" t="s">
        <v>4</v>
      </c>
      <c r="N4" s="9">
        <v>8</v>
      </c>
      <c r="O4" s="3"/>
      <c r="P4" s="1"/>
      <c r="Q4" s="1"/>
    </row>
    <row r="5" ht="21.75" customHeight="1" spans="1:17" x14ac:dyDescent="0.25">
      <c r="A5" s="10" t="s">
        <v>24</v>
      </c>
      <c r="B5" s="11">
        <f>'Weekly Return'!C3</f>
        <v>3009</v>
      </c>
      <c r="C5" s="3"/>
      <c r="D5" s="12"/>
      <c r="E5" s="13"/>
      <c r="F5" s="13"/>
      <c r="G5" s="13"/>
      <c r="H5" s="13"/>
      <c r="I5" s="14"/>
      <c r="J5" s="15"/>
      <c r="K5" s="3"/>
      <c r="L5" s="3"/>
      <c r="M5" s="3"/>
      <c r="N5" s="3"/>
      <c r="O5" s="1"/>
      <c r="P5" s="1"/>
      <c r="Q5" s="1"/>
    </row>
    <row r="6" ht="21.75" customHeight="1" spans="1:17" x14ac:dyDescent="0.25">
      <c r="A6" s="16" t="s">
        <v>25</v>
      </c>
      <c r="B6" s="17">
        <f>'Weekly Return'!C4</f>
        <v>NaN</v>
      </c>
      <c r="C6" s="3"/>
      <c r="D6" s="1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"/>
      <c r="Q6" s="1"/>
    </row>
    <row r="7" ht="16.5" customHeight="1" spans="1:17" x14ac:dyDescent="0.25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</row>
    <row r="8" ht="15.75" customHeight="1" spans="1:17" x14ac:dyDescent="0.25">
      <c r="A8" s="3"/>
      <c r="B8" s="26" t="s">
        <v>13</v>
      </c>
      <c r="C8" s="27">
        <v>1</v>
      </c>
      <c r="D8" s="27">
        <v>2</v>
      </c>
      <c r="E8" s="27">
        <v>3</v>
      </c>
      <c r="F8" s="27">
        <v>4</v>
      </c>
      <c r="G8" s="27">
        <v>5</v>
      </c>
      <c r="H8" s="27">
        <v>6</v>
      </c>
      <c r="I8" s="27">
        <v>7</v>
      </c>
      <c r="J8" s="27">
        <v>8</v>
      </c>
      <c r="K8" s="27">
        <v>9</v>
      </c>
      <c r="L8" s="27">
        <v>10</v>
      </c>
      <c r="M8" s="27">
        <v>11</v>
      </c>
      <c r="N8" s="27">
        <v>12</v>
      </c>
      <c r="O8" s="27">
        <v>13</v>
      </c>
      <c r="P8" s="27">
        <v>14</v>
      </c>
      <c r="Q8" s="28">
        <v>15</v>
      </c>
    </row>
    <row r="9" ht="16.5" customHeight="1" spans="1:17" x14ac:dyDescent="0.25">
      <c r="A9" s="3"/>
      <c r="B9" s="29" t="s">
        <v>14</v>
      </c>
      <c r="C9" s="9">
        <v>35</v>
      </c>
      <c r="D9" s="9">
        <v>35</v>
      </c>
      <c r="E9" s="9">
        <v>35</v>
      </c>
      <c r="F9" s="9">
        <v>35</v>
      </c>
      <c r="G9" s="9">
        <v>35</v>
      </c>
      <c r="H9" s="9">
        <v>35</v>
      </c>
      <c r="I9" s="9">
        <v>35</v>
      </c>
      <c r="J9" s="9">
        <v>35</v>
      </c>
      <c r="K9" s="9">
        <v>35</v>
      </c>
      <c r="L9" s="9">
        <v>35</v>
      </c>
      <c r="M9" s="9">
        <v>35</v>
      </c>
      <c r="N9" s="9">
        <v>35</v>
      </c>
      <c r="O9" s="9">
        <v>35</v>
      </c>
      <c r="P9" s="9">
        <v>35</v>
      </c>
      <c r="Q9" s="30">
        <v>35</v>
      </c>
    </row>
    <row r="10" ht="16.5" customHeight="1" spans="1:17" x14ac:dyDescent="0.25">
      <c r="A10" s="58" t="s">
        <v>43</v>
      </c>
      <c r="B10" s="38" t="s">
        <v>30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</row>
    <row r="11" ht="16.5" customHeight="1" spans="1:17" x14ac:dyDescent="0.25">
      <c r="A11" s="3"/>
      <c r="B11" s="2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5.75" customHeight="1" spans="1:17" x14ac:dyDescent="0.25">
      <c r="A12" s="3"/>
      <c r="B12" s="4" t="s">
        <v>31</v>
      </c>
      <c r="C12" s="50">
        <f>C10/(VLOOKUP(C9,Standards!$A:$B,2,FALSE))</f>
        <v>0</v>
      </c>
      <c r="D12" s="50">
        <f>D10/(VLOOKUP(D9,Standards!$A:$B,2,FALSE))</f>
        <v>0</v>
      </c>
      <c r="E12" s="50">
        <f>E10/(VLOOKUP(E9,Standards!$A:$B,2,FALSE))</f>
        <v>0</v>
      </c>
      <c r="F12" s="50">
        <f>F10/(VLOOKUP(F9,Standards!$A:$B,2,FALSE))</f>
        <v>0</v>
      </c>
      <c r="G12" s="50">
        <f>G10/(VLOOKUP(G9,Standards!$A:$B,2,FALSE))</f>
        <v>0</v>
      </c>
      <c r="H12" s="50">
        <f>H10/(VLOOKUP(H9,Standards!$A:$B,2,FALSE))</f>
        <v>0</v>
      </c>
      <c r="I12" s="50">
        <f>I10/(VLOOKUP(I9,Standards!$A:$B,2,FALSE))</f>
        <v>0</v>
      </c>
      <c r="J12" s="50">
        <f>J10/(VLOOKUP(J9,Standards!$A:$B,2,FALSE))</f>
        <v>0</v>
      </c>
      <c r="K12" s="50">
        <f>K10/(VLOOKUP(K9,Standards!$A:$B,2,FALSE))</f>
        <v>0</v>
      </c>
      <c r="L12" s="50">
        <f>L10/(VLOOKUP(L9,Standards!$A:$B,2,FALSE))</f>
        <v>0</v>
      </c>
      <c r="M12" s="50">
        <f>M10/(VLOOKUP(M9,Standards!$A:$B,2,FALSE))</f>
        <v>0</v>
      </c>
      <c r="N12" s="50">
        <f>N10/(VLOOKUP(N9,Standards!$A:$B,2,FALSE))</f>
        <v>0</v>
      </c>
      <c r="O12" s="50">
        <f>O10/(VLOOKUP(O9,Standards!$A:$B,2,FALSE))</f>
        <v>0</v>
      </c>
      <c r="P12" s="50">
        <f>P10/(VLOOKUP(P9,Standards!$A:$B,2,FALSE))</f>
        <v>0</v>
      </c>
      <c r="Q12" s="52">
        <f>Q10/(VLOOKUP(Q9,Standards!$A:$B,2,FALSE))</f>
        <v>0</v>
      </c>
    </row>
    <row r="13" ht="16.5" customHeight="1" spans="1:17" x14ac:dyDescent="0.25">
      <c r="A13" s="3"/>
      <c r="B13" s="59" t="s">
        <v>85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</row>
    <row r="14" ht="15.75" customHeight="1" spans="1:17" x14ac:dyDescent="0.25">
      <c r="A14" s="44"/>
      <c r="B14" s="18"/>
      <c r="C14" s="44"/>
      <c r="D14" s="3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1"/>
      <c r="Q14" s="1"/>
    </row>
    <row r="15" ht="15.75" customHeight="1" spans="1:17" x14ac:dyDescent="0.25">
      <c r="A15" s="44" t="s">
        <v>86</v>
      </c>
      <c r="B15" s="44"/>
      <c r="C15" s="44"/>
      <c r="D15" s="44"/>
      <c r="E15" s="45" t="s">
        <v>20</v>
      </c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ht="15.75" customHeight="1" spans="1:17" x14ac:dyDescent="0.25">
      <c r="A16" s="44" t="s">
        <v>87</v>
      </c>
      <c r="B16" s="44"/>
      <c r="C16" s="44"/>
      <c r="D16" s="44"/>
      <c r="E16" s="45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5.75" customHeight="1" spans="1:17" x14ac:dyDescent="0.25">
      <c r="A17" s="44" t="s">
        <v>22</v>
      </c>
      <c r="B17" s="44"/>
      <c r="C17" s="44"/>
      <c r="D17" s="44"/>
      <c r="E17" s="45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ht="15.75" customHeight="1" spans="1:17" x14ac:dyDescent="0.25">
      <c r="A18" s="2"/>
      <c r="B18" s="1"/>
      <c r="C18" s="3"/>
      <c r="D18" s="3"/>
      <c r="E18" s="45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</sheetData>
  <mergeCells count="4">
    <mergeCell ref="D4:I5"/>
    <mergeCell ref="A15:D15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Return</vt:lpstr>
      <vt:lpstr>35 day weights</vt:lpstr>
      <vt:lpstr>Placement Information</vt:lpstr>
      <vt:lpstr>Standards</vt:lpstr>
      <vt:lpstr>Instructions</vt:lpstr>
      <vt:lpstr>Deadlines</vt:lpstr>
    </vt:vector>
  </TitlesOfParts>
  <Company>Cargill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Norton</dc:creator>
  <dc:title/>
  <dc:subject/>
  <dc:description/>
  <cp:keywords/>
  <cp:category/>
  <cp:lastModifiedBy>Grzegorz Luty</cp:lastModifiedBy>
  <cp:contentStatus/>
  <dcterms:created xsi:type="dcterms:W3CDTF">2017-03-10T14:50:27Z</dcterms:created>
  <dcterms:modified xsi:type="dcterms:W3CDTF">2026-02-28T15:18:51Z</dcterms:modified>
</cp:coreProperties>
</file>